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  <sheet xmlns:r="http://schemas.openxmlformats.org/officeDocument/2006/relationships" name="Foundations backlog" sheetId="2" state="visible" r:id="rId2"/>
    <sheet xmlns:r="http://schemas.openxmlformats.org/officeDocument/2006/relationships" name="Release plan" sheetId="3" state="visible" r:id="rId3"/>
    <sheet xmlns:r="http://schemas.openxmlformats.org/officeDocument/2006/relationships" name="Sprint calendar" sheetId="4" state="visible" r:id="rId4"/>
    <sheet xmlns:r="http://schemas.openxmlformats.org/officeDocument/2006/relationships" name="Legend" sheetId="5" state="visible" r:id="rId5"/>
  </sheets>
  <definedNames>
    <definedName name="_xlnm._FilterDatabase" localSheetId="0" hidden="1">'RTM'!$A$1:$S$101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C8CED6"/>
      </left>
      <right style="thin">
        <color rgb="00C8CED6"/>
      </right>
      <top style="thin">
        <color rgb="00C8CED6"/>
      </top>
      <bottom style="thin">
        <color rgb="00C8CE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0" fillId="0" borderId="0" pivotButton="0" quotePrefix="0" xfId="0"/>
    <xf numFmtId="0" fontId="1" fillId="2" borderId="0" pivotButton="0" quotePrefix="0" xfId="0"/>
    <xf numFmtId="164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BE3E4"/>
        </patternFill>
      </fill>
    </dxf>
    <dxf>
      <fill>
        <patternFill patternType="solid">
          <fgColor rgb="00FFF4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26" customWidth="1" min="3" max="3"/>
    <col width="34" customWidth="1" min="4" max="4"/>
    <col width="9" customWidth="1" min="5" max="5"/>
    <col width="60" customWidth="1" min="6" max="6"/>
    <col width="8" customWidth="1" min="7" max="7"/>
    <col width="16" customWidth="1" min="8" max="8"/>
    <col width="13" customWidth="1" min="9" max="9"/>
    <col width="60" customWidth="1" min="10" max="10"/>
    <col width="30" customWidth="1" min="11" max="11"/>
    <col width="8" customWidth="1" min="12" max="12"/>
    <col width="12" customWidth="1" min="13" max="13"/>
    <col width="6" customWidth="1" min="14" max="14"/>
    <col width="8" customWidth="1" min="15" max="15"/>
    <col width="12" customWidth="1" min="16" max="16"/>
    <col width="16" customWidth="1" min="17" max="17"/>
    <col width="32" customWidth="1" min="18" max="18"/>
    <col width="13" customWidth="1" min="19" max="19"/>
  </cols>
  <sheetData>
    <row r="1" ht="32" customHeight="1">
      <c r="A1" s="1" t="inlineStr">
        <is>
          <t>Req ID</t>
        </is>
      </c>
      <c r="B1" s="1" t="inlineStr">
        <is>
          <t>Module #</t>
        </is>
      </c>
      <c r="C1" s="1" t="inlineStr">
        <is>
          <t>Module</t>
        </is>
      </c>
      <c r="D1" s="1" t="inlineStr">
        <is>
          <t>Title</t>
        </is>
      </c>
      <c r="E1" s="1" t="inlineStr">
        <is>
          <t>Priority</t>
        </is>
      </c>
      <c r="F1" s="1" t="inlineStr">
        <is>
          <t>Functional Requirement</t>
        </is>
      </c>
      <c r="G1" s="1" t="inlineStr">
        <is>
          <t>Sub-reqs</t>
        </is>
      </c>
      <c r="H1" s="1" t="inlineStr">
        <is>
          <t>Interfaces</t>
        </is>
      </c>
      <c r="I1" s="1" t="inlineStr">
        <is>
          <t>Prototype status</t>
        </is>
      </c>
      <c r="J1" s="1" t="inlineStr">
        <is>
          <t>Gap / notes</t>
        </is>
      </c>
      <c r="K1" s="1" t="inlineStr">
        <is>
          <t>Shared services</t>
        </is>
      </c>
      <c r="L1" s="1" t="inlineStr">
        <is>
          <t>Release</t>
        </is>
      </c>
      <c r="M1" s="1" t="inlineStr">
        <is>
          <t>Planned sprints</t>
        </is>
      </c>
      <c r="N1" s="1" t="inlineStr">
        <is>
          <t>Size</t>
        </is>
      </c>
      <c r="O1" s="1" t="inlineStr">
        <is>
          <t>Story points</t>
        </is>
      </c>
      <c r="P1" s="1" t="inlineStr">
        <is>
          <t>Decision refs</t>
        </is>
      </c>
      <c r="Q1" s="1" t="inlineStr">
        <is>
          <t>Test cases</t>
        </is>
      </c>
      <c r="R1" s="1" t="inlineStr">
        <is>
          <t>SME / UAT owner</t>
        </is>
      </c>
      <c r="S1" s="1" t="inlineStr">
        <is>
          <t>Delivery status</t>
        </is>
      </c>
    </row>
    <row r="2">
      <c r="A2" s="2" t="inlineStr">
        <is>
          <t>REG-REQ01</t>
        </is>
      </c>
      <c r="B2" s="2" t="n">
        <v>1</v>
      </c>
      <c r="C2" s="2" t="inlineStr">
        <is>
          <t>User Registration &amp; Account Management</t>
        </is>
      </c>
      <c r="D2" s="2" t="inlineStr">
        <is>
          <t>Tax Club Member Registration</t>
        </is>
      </c>
      <c r="E2" s="2" t="inlineStr">
        <is>
          <t>High</t>
        </is>
      </c>
      <c r="F2" s="2" t="inlineStr">
        <is>
          <t>The system shall allow an eligible user to register for a TRA Tax Club account through the Mobile Application or Web Application by providing the mandatory personal, contact, membership and institutional information.</t>
        </is>
      </c>
      <c r="G2" s="2" t="n">
        <v>9</v>
      </c>
      <c r="H2" s="2" t="inlineStr">
        <is>
          <t>Mobile / Web / Admin</t>
        </is>
      </c>
      <c r="I2" s="2" t="inlineStr">
        <is>
          <t>Partial</t>
        </is>
      </c>
      <c r="J2" s="2" t="inlineStr">
        <is>
          <t>API register exists (name, email, phone, password, user_type, institution). Missing: DOB/age band, gender, region, consent/guardian, registration reference, Pending Verification status (currently auto-verified + token issued), inactive-institution check, member-facing registration UI in repo.
UPDATE 16-Oct-2026: Web + API registration with Pending Verification and reference number (branch feat/laravel13-livewire-tailwind). Still missing: DOB/age band, guardian consent capture, region, confirmation notification.</t>
        </is>
      </c>
      <c r="K2" s="2" t="inlineStr">
        <is>
          <t>Workflow, Audience, Notifications, Cases/Numbering, Safeguarding, Scoped RBAC</t>
        </is>
      </c>
      <c r="L2" s="2" t="inlineStr">
        <is>
          <t>R1</t>
        </is>
      </c>
      <c r="M2" s="2" t="inlineStr">
        <is>
          <t>S2–S6</t>
        </is>
      </c>
      <c r="N2" s="2" t="inlineStr">
        <is>
          <t>L</t>
        </is>
      </c>
      <c r="O2" s="2" t="n">
        <v>6</v>
      </c>
      <c r="P2" s="2" t="inlineStr">
        <is>
          <t>D-04, D-06, D-07</t>
        </is>
      </c>
      <c r="Q2" s="2" t="inlineStr">
        <is>
          <t>TC-REG-REQ01-01..09</t>
        </is>
      </c>
      <c r="R2" s="2" t="inlineStr">
        <is>
          <t>TRA Taxpayer Education / Tax Club Programme Responsible Officer</t>
        </is>
      </c>
      <c r="S2" s="2" t="inlineStr">
        <is>
          <t>Done</t>
        </is>
      </c>
    </row>
    <row r="3">
      <c r="A3" s="2" t="inlineStr">
        <is>
          <t>REG-REQ02</t>
        </is>
      </c>
      <c r="B3" s="2" t="n">
        <v>1</v>
      </c>
      <c r="C3" s="2" t="inlineStr">
        <is>
          <t>User Registration &amp; Account Management</t>
        </is>
      </c>
      <c r="D3" s="2" t="inlineStr">
        <is>
          <t>Tax Club Membership Verification</t>
        </is>
      </c>
      <c r="E3" s="2" t="inlineStr">
        <is>
          <t>High</t>
        </is>
      </c>
      <c r="F3" s="2" t="inlineStr">
        <is>
          <t>The system shall allow an authorized user to verify, approve or reject a submitted Tax Club membership registration.</t>
        </is>
      </c>
      <c r="G3" s="2" t="n">
        <v>9</v>
      </c>
      <c r="H3" s="2" t="inlineStr">
        <is>
          <t>Mobile / Web / Admin</t>
        </is>
      </c>
      <c r="I3" s="2" t="inlineStr">
        <is>
          <t>Not started</t>
        </is>
      </c>
      <c r="J3" s="2" t="inlineStr">
        <is>
          <t>No implementation in prototype.
UPDATE 16-Oct-2026: Verification queue with filters, approve/reject with reason, officer and time recorded. Still missing: coordinator/patron scope, applicant notification.
UPDATE 17-Oct-2026: Verification queue now scoped: patrons see and decide only their own institution; TRA officers need view_all_registrations. Still missing: region-scoped coordinators, applicant notification.</t>
        </is>
      </c>
      <c r="K3" s="2" t="inlineStr">
        <is>
          <t>Workflow, Notifications, Audit, Cases/Numbering, Scoped RBAC</t>
        </is>
      </c>
      <c r="L3" s="2" t="inlineStr">
        <is>
          <t>R1</t>
        </is>
      </c>
      <c r="M3" s="2" t="inlineStr">
        <is>
          <t>S2–S6</t>
        </is>
      </c>
      <c r="N3" s="2" t="inlineStr">
        <is>
          <t>M</t>
        </is>
      </c>
      <c r="O3" s="2" t="n">
        <v>5</v>
      </c>
      <c r="P3" s="2" t="inlineStr">
        <is>
          <t>D-05, D-09</t>
        </is>
      </c>
      <c r="Q3" s="2" t="inlineStr">
        <is>
          <t>TC-REG-REQ02-01..09</t>
        </is>
      </c>
      <c r="R3" s="2" t="inlineStr">
        <is>
          <t>TRA Tax Club Programme Coordinator / Responsible Taxpayer Education Officer</t>
        </is>
      </c>
      <c r="S3" s="2" t="inlineStr">
        <is>
          <t>Done</t>
        </is>
      </c>
    </row>
    <row r="4">
      <c r="A4" s="2" t="inlineStr">
        <is>
          <t>REG-REQ03</t>
        </is>
      </c>
      <c r="B4" s="2" t="n">
        <v>1</v>
      </c>
      <c r="C4" s="2" t="inlineStr">
        <is>
          <t>User Registration &amp; Account Management</t>
        </is>
      </c>
      <c r="D4" s="2" t="inlineStr">
        <is>
          <t>Account Activation</t>
        </is>
      </c>
      <c r="E4" s="2" t="inlineStr">
        <is>
          <t>High</t>
        </is>
      </c>
      <c r="F4" s="2" t="inlineStr">
        <is>
          <t>The system shall activate a Tax Club member account after successful membership verification and allow the verified member to access services permitted for their assigned membership category.</t>
        </is>
      </c>
      <c r="G4" s="2" t="n">
        <v>8</v>
      </c>
      <c r="H4" s="2" t="inlineStr">
        <is>
          <t>Mobile / Web</t>
        </is>
      </c>
      <c r="I4" s="2" t="inlineStr">
        <is>
          <t>Not started</t>
        </is>
      </c>
      <c r="J4" s="2" t="inlineStr">
        <is>
          <t>No implementation in prototype.
UPDATE 16-Oct-2026: Approval activates the account and issues an interim membership number. Still missing: notification, final number format (D-03).</t>
        </is>
      </c>
      <c r="K4" s="2" t="inlineStr">
        <is>
          <t>Workflow, Audience, Notifications, Audit, Cases/Numbering</t>
        </is>
      </c>
      <c r="L4" s="2" t="inlineStr">
        <is>
          <t>R1</t>
        </is>
      </c>
      <c r="M4" s="2" t="inlineStr">
        <is>
          <t>S2–S6</t>
        </is>
      </c>
      <c r="N4" s="2" t="inlineStr">
        <is>
          <t>M</t>
        </is>
      </c>
      <c r="O4" s="2" t="n">
        <v>5</v>
      </c>
      <c r="P4" s="2" t="inlineStr"/>
      <c r="Q4" s="2" t="inlineStr">
        <is>
          <t>TC-REG-REQ03-01..08</t>
        </is>
      </c>
      <c r="R4" s="2" t="inlineStr">
        <is>
          <t>TRA Tax Club Programme Coordinator / Responsible Taxpayer Education Officer</t>
        </is>
      </c>
      <c r="S4" s="2" t="inlineStr">
        <is>
          <t>Done</t>
        </is>
      </c>
    </row>
    <row r="5">
      <c r="A5" s="2" t="inlineStr">
        <is>
          <t>REG-REQ04</t>
        </is>
      </c>
      <c r="B5" s="2" t="n">
        <v>1</v>
      </c>
      <c r="C5" s="2" t="inlineStr">
        <is>
          <t>User Registration &amp; Account Management</t>
        </is>
      </c>
      <c r="D5" s="2" t="inlineStr">
        <is>
          <t>User Login</t>
        </is>
      </c>
      <c r="E5" s="2" t="inlineStr">
        <is>
          <t>High</t>
        </is>
      </c>
      <c r="F5" s="2" t="inlineStr">
        <is>
          <t>The system shall allow a registered and active user to securely log in to the TRA Tax Club Digital Platform through the Mobile Application or Web Application using approved authentication credentials.</t>
        </is>
      </c>
      <c r="G5" s="2" t="n">
        <v>9</v>
      </c>
      <c r="H5" s="2" t="inlineStr">
        <is>
          <t>Mobile / Web</t>
        </is>
      </c>
      <c r="I5" s="2" t="inlineStr">
        <is>
          <t>Partial</t>
        </is>
      </c>
      <c r="J5" s="2" t="inlineStr">
        <is>
          <t>Email+password login with Sanctum token and permission list; single-session. Missing: phone login, lockout/rate limit, login audit, token expiry, suspended-status enforcement, MFA for staff.
UPDATE 16-Oct-2026: Web sign-in by phone or email with rate limiting and status checks; API login blocks non-active accounts. Still missing: login audit, token expiry, staff MFA.</t>
        </is>
      </c>
      <c r="K5" s="2" t="inlineStr">
        <is>
          <t>Workflow, Audit</t>
        </is>
      </c>
      <c r="L5" s="2" t="inlineStr">
        <is>
          <t>R1</t>
        </is>
      </c>
      <c r="M5" s="2" t="inlineStr">
        <is>
          <t>S2–S6</t>
        </is>
      </c>
      <c r="N5" s="2" t="inlineStr">
        <is>
          <t>L</t>
        </is>
      </c>
      <c r="O5" s="2" t="n">
        <v>6</v>
      </c>
      <c r="P5" s="2" t="inlineStr">
        <is>
          <t>D-07, D-08</t>
        </is>
      </c>
      <c r="Q5" s="2" t="inlineStr">
        <is>
          <t>TC-REG-REQ04-01..09</t>
        </is>
      </c>
      <c r="R5" s="2" t="inlineStr">
        <is>
          <t>TRA ICT Security / Tax Club Programme Responsible Officer</t>
        </is>
      </c>
      <c r="S5" s="2" t="inlineStr">
        <is>
          <t>In progress</t>
        </is>
      </c>
    </row>
    <row r="6">
      <c r="A6" s="2" t="inlineStr">
        <is>
          <t>REG-REQ05</t>
        </is>
      </c>
      <c r="B6" s="2" t="n">
        <v>1</v>
      </c>
      <c r="C6" s="2" t="inlineStr">
        <is>
          <t>User Registration &amp; Account Management</t>
        </is>
      </c>
      <c r="D6" s="2" t="inlineStr">
        <is>
          <t>Account Recovery and Credential Reset</t>
        </is>
      </c>
      <c r="E6" s="2" t="inlineStr">
        <is>
          <t>High</t>
        </is>
      </c>
      <c r="F6" s="2" t="inlineStr">
        <is>
          <t>The system shall allow a registered user who cannot access their account to securely recover the account or reset their authentication credentials through an approved identity-verification mechanism.</t>
        </is>
      </c>
      <c r="G6" s="2" t="n">
        <v>10</v>
      </c>
      <c r="H6" s="2" t="inlineStr">
        <is>
          <t>Admin</t>
        </is>
      </c>
      <c r="I6" s="2" t="inlineStr">
        <is>
          <t>Not started</t>
        </is>
      </c>
      <c r="J6" s="2" t="inlineStr">
        <is>
          <t>No implementation in prototype.</t>
        </is>
      </c>
      <c r="K6" s="2" t="inlineStr">
        <is>
          <t>Workflow, Notifications, Audit, Cases/Numbering</t>
        </is>
      </c>
      <c r="L6" s="2" t="inlineStr">
        <is>
          <t>R1</t>
        </is>
      </c>
      <c r="M6" s="2" t="inlineStr">
        <is>
          <t>S2–S6</t>
        </is>
      </c>
      <c r="N6" s="2" t="inlineStr">
        <is>
          <t>L</t>
        </is>
      </c>
      <c r="O6" s="2" t="n">
        <v>8</v>
      </c>
      <c r="P6" s="2" t="inlineStr">
        <is>
          <t>D-07</t>
        </is>
      </c>
      <c r="Q6" s="2" t="inlineStr">
        <is>
          <t>TC-REG-REQ05-01..10</t>
        </is>
      </c>
      <c r="R6" s="2" t="inlineStr">
        <is>
          <t>TRA ICT Security / System Administration Team</t>
        </is>
      </c>
      <c r="S6" s="2" t="inlineStr">
        <is>
          <t>Done</t>
        </is>
      </c>
    </row>
    <row r="7">
      <c r="A7" s="2" t="inlineStr">
        <is>
          <t>REG-REQ06</t>
        </is>
      </c>
      <c r="B7" s="2" t="n">
        <v>1</v>
      </c>
      <c r="C7" s="2" t="inlineStr">
        <is>
          <t>User Registration &amp; Account Management</t>
        </is>
      </c>
      <c r="D7" s="2" t="inlineStr">
        <is>
          <t>Account Suspension, Deactivation and Reactivation</t>
        </is>
      </c>
      <c r="E7" s="2" t="inlineStr">
        <is>
          <t>High</t>
        </is>
      </c>
      <c r="F7" s="2" t="inlineStr">
        <is>
          <t>The system shall allow an authorized user to suspend, deactivate or reactivate a Tax Club user account in accordance with approved membership, moderation, security and administrative rules.</t>
        </is>
      </c>
      <c r="G7" s="2" t="n">
        <v>10</v>
      </c>
      <c r="H7" s="2" t="inlineStr">
        <is>
          <t>Mobile / Web / Admin</t>
        </is>
      </c>
      <c r="I7" s="2" t="inlineStr">
        <is>
          <t>Not started</t>
        </is>
      </c>
      <c r="J7" s="2" t="inlineStr">
        <is>
          <t>No implementation in prototype.</t>
        </is>
      </c>
      <c r="K7" s="2" t="inlineStr">
        <is>
          <t>Workflow, Audience, Notifications, Audit, Safeguarding</t>
        </is>
      </c>
      <c r="L7" s="2" t="inlineStr">
        <is>
          <t>R1</t>
        </is>
      </c>
      <c r="M7" s="2" t="inlineStr">
        <is>
          <t>S2–S6</t>
        </is>
      </c>
      <c r="N7" s="2" t="inlineStr">
        <is>
          <t>M</t>
        </is>
      </c>
      <c r="O7" s="2" t="n">
        <v>5</v>
      </c>
      <c r="P7" s="2" t="inlineStr"/>
      <c r="Q7" s="2" t="inlineStr">
        <is>
          <t>TC-REG-REQ06-01..10</t>
        </is>
      </c>
      <c r="R7" s="2" t="inlineStr">
        <is>
          <t>TRA Tax Club Programme Coordinator / Moderator / ICT Security Representative</t>
        </is>
      </c>
      <c r="S7" s="2" t="inlineStr">
        <is>
          <t>Planned</t>
        </is>
      </c>
    </row>
    <row r="8">
      <c r="A8" s="2" t="inlineStr">
        <is>
          <t>REG-REQ07</t>
        </is>
      </c>
      <c r="B8" s="2" t="n">
        <v>1</v>
      </c>
      <c r="C8" s="2" t="inlineStr">
        <is>
          <t>User Registration &amp; Account Management</t>
        </is>
      </c>
      <c r="D8" s="2" t="inlineStr">
        <is>
          <t>Transition of Student Member to Alumni</t>
        </is>
      </c>
      <c r="E8" s="2" t="inlineStr">
        <is>
          <t>High</t>
        </is>
      </c>
      <c r="F8" s="2" t="inlineStr">
        <is>
          <t>The system shall allow an eligible Tax Club member to transition from active student membership to Tax Club Alumni status while retaining approved membership history, learning achievements and participation records.</t>
        </is>
      </c>
      <c r="G8" s="2" t="n">
        <v>10</v>
      </c>
      <c r="H8" s="2" t="inlineStr">
        <is>
          <t>Mobile / Web / Admin</t>
        </is>
      </c>
      <c r="I8" s="2" t="inlineStr">
        <is>
          <t>Not started</t>
        </is>
      </c>
      <c r="J8" s="2" t="inlineStr">
        <is>
          <t>No implementation in prototype.</t>
        </is>
      </c>
      <c r="K8" s="2" t="inlineStr">
        <is>
          <t>Workflow, Audience, Notifications, Audit, Cases/Numbering</t>
        </is>
      </c>
      <c r="L8" s="2" t="inlineStr">
        <is>
          <t>R1</t>
        </is>
      </c>
      <c r="M8" s="2" t="inlineStr">
        <is>
          <t>S2–S6</t>
        </is>
      </c>
      <c r="N8" s="2" t="inlineStr">
        <is>
          <t>L</t>
        </is>
      </c>
      <c r="O8" s="2" t="n">
        <v>8</v>
      </c>
      <c r="P8" s="2" t="inlineStr">
        <is>
          <t>D-12</t>
        </is>
      </c>
      <c r="Q8" s="2" t="inlineStr">
        <is>
          <t>TC-REG-REQ07-01..10</t>
        </is>
      </c>
      <c r="R8" s="2" t="inlineStr">
        <is>
          <t>TRA Tax Club Programme Coordinator / Responsible Taxpayer Education Officer</t>
        </is>
      </c>
      <c r="S8" s="2" t="inlineStr">
        <is>
          <t>Planned</t>
        </is>
      </c>
    </row>
    <row r="9">
      <c r="A9" s="2" t="inlineStr">
        <is>
          <t>PRO-REQ01</t>
        </is>
      </c>
      <c r="B9" s="2" t="n">
        <v>2</v>
      </c>
      <c r="C9" s="2" t="inlineStr">
        <is>
          <t>Member Profile &amp; Digital Membership</t>
        </is>
      </c>
      <c r="D9" s="2" t="inlineStr">
        <is>
          <t>View Member Profile</t>
        </is>
      </c>
      <c r="E9" s="2" t="inlineStr">
        <is>
          <t>High</t>
        </is>
      </c>
      <c r="F9" s="2" t="inlineStr">
        <is>
          <t>The system shall allow a registered Tax Club member to view their profile information through the Mobile Application or Web Application.</t>
        </is>
      </c>
      <c r="G9" s="2" t="n">
        <v>8</v>
      </c>
      <c r="H9" s="2" t="inlineStr">
        <is>
          <t>Mobile / Web</t>
        </is>
      </c>
      <c r="I9" s="2" t="inlineStr">
        <is>
          <t>Partial</t>
        </is>
      </c>
      <c r="J9" s="2" t="inlineStr">
        <is>
          <t>GET /auth/me returns basic profile and institution. Missing: membership status/category display rules, achievements, badges, certificates.</t>
        </is>
      </c>
      <c r="K9" s="2" t="inlineStr">
        <is>
          <t>Workflow, Scoped RBAC</t>
        </is>
      </c>
      <c r="L9" s="2" t="inlineStr">
        <is>
          <t>R1</t>
        </is>
      </c>
      <c r="M9" s="2" t="inlineStr">
        <is>
          <t>S2–S6</t>
        </is>
      </c>
      <c r="N9" s="2" t="inlineStr">
        <is>
          <t>S</t>
        </is>
      </c>
      <c r="O9" s="2" t="n">
        <v>2</v>
      </c>
      <c r="P9" s="2" t="inlineStr"/>
      <c r="Q9" s="2" t="inlineStr">
        <is>
          <t>TC-PRO-REQ01-01..08</t>
        </is>
      </c>
      <c r="R9" s="2" t="inlineStr">
        <is>
          <t>TRA Tax Club Programme Coordinator / Responsible Taxpayer Education Officer</t>
        </is>
      </c>
      <c r="S9" s="2" t="inlineStr">
        <is>
          <t>Planned</t>
        </is>
      </c>
    </row>
    <row r="10">
      <c r="A10" s="2" t="inlineStr">
        <is>
          <t>PRO-REQ02</t>
        </is>
      </c>
      <c r="B10" s="2" t="n">
        <v>2</v>
      </c>
      <c r="C10" s="2" t="inlineStr">
        <is>
          <t>Member Profile &amp; Digital Membership</t>
        </is>
      </c>
      <c r="D10" s="2" t="inlineStr">
        <is>
          <t>Update Member Profile</t>
        </is>
      </c>
      <c r="E10" s="2" t="inlineStr">
        <is>
          <t>High</t>
        </is>
      </c>
      <c r="F10" s="2" t="inlineStr">
        <is>
          <t>The system shall allow a Tax Club member to update permitted personal and profile information through the Mobile Application or Web Application.</t>
        </is>
      </c>
      <c r="G10" s="2" t="n">
        <v>8</v>
      </c>
      <c r="H10" s="2" t="inlineStr">
        <is>
          <t>Mobile / Web</t>
        </is>
      </c>
      <c r="I10" s="2" t="inlineStr">
        <is>
          <t>Not started</t>
        </is>
      </c>
      <c r="J10" s="2" t="inlineStr">
        <is>
          <t>No implementation in prototype.</t>
        </is>
      </c>
      <c r="K10" s="2" t="inlineStr">
        <is>
          <t>Workflow, Notifications, Audit, Safeguarding</t>
        </is>
      </c>
      <c r="L10" s="2" t="inlineStr">
        <is>
          <t>R1</t>
        </is>
      </c>
      <c r="M10" s="2" t="inlineStr">
        <is>
          <t>S2–S6</t>
        </is>
      </c>
      <c r="N10" s="2" t="inlineStr">
        <is>
          <t>M</t>
        </is>
      </c>
      <c r="O10" s="2" t="n">
        <v>5</v>
      </c>
      <c r="P10" s="2" t="inlineStr"/>
      <c r="Q10" s="2" t="inlineStr">
        <is>
          <t>TC-PRO-REQ02-01..08</t>
        </is>
      </c>
      <c r="R10" s="2" t="inlineStr">
        <is>
          <t>TRA Tax Club Programme Coordinator / System Administrator</t>
        </is>
      </c>
      <c r="S10" s="2" t="inlineStr">
        <is>
          <t>Planned</t>
        </is>
      </c>
    </row>
    <row r="11">
      <c r="A11" s="2" t="inlineStr">
        <is>
          <t>PRO-REQ03</t>
        </is>
      </c>
      <c r="B11" s="2" t="n">
        <v>2</v>
      </c>
      <c r="C11" s="2" t="inlineStr">
        <is>
          <t>Member Profile &amp; Digital Membership</t>
        </is>
      </c>
      <c r="D11" s="2" t="inlineStr">
        <is>
          <t>Member Profile Privacy Management</t>
        </is>
      </c>
      <c r="E11" s="2" t="inlineStr">
        <is>
          <t>High</t>
        </is>
      </c>
      <c r="F11" s="2" t="inlineStr">
        <is>
          <t>The system shall control the visibility of member profile information based on user role, membership category, privacy rules and approved safeguarding requirements.</t>
        </is>
      </c>
      <c r="G11" s="2" t="n">
        <v>7</v>
      </c>
      <c r="H11" s="2" t="inlineStr">
        <is>
          <t>Mobile / Web / Admin</t>
        </is>
      </c>
      <c r="I11" s="2" t="inlineStr">
        <is>
          <t>Not started</t>
        </is>
      </c>
      <c r="J11" s="2" t="inlineStr">
        <is>
          <t>No implementation in prototype.</t>
        </is>
      </c>
      <c r="K11" s="2" t="inlineStr">
        <is>
          <t>Workflow, Cases/Numbering, Safeguarding</t>
        </is>
      </c>
      <c r="L11" s="2" t="inlineStr">
        <is>
          <t>R1</t>
        </is>
      </c>
      <c r="M11" s="2" t="inlineStr">
        <is>
          <t>S2–S6</t>
        </is>
      </c>
      <c r="N11" s="2" t="inlineStr">
        <is>
          <t>L</t>
        </is>
      </c>
      <c r="O11" s="2" t="n">
        <v>8</v>
      </c>
      <c r="P11" s="2" t="inlineStr">
        <is>
          <t>D-04</t>
        </is>
      </c>
      <c r="Q11" s="2" t="inlineStr">
        <is>
          <t>TC-PRO-REQ03-01..07</t>
        </is>
      </c>
      <c r="R11" s="2" t="inlineStr">
        <is>
          <t>TRA ICT Security / Tax Club Programme Coordinator / Data Protection Responsible Officer</t>
        </is>
      </c>
      <c r="S11" s="2" t="inlineStr">
        <is>
          <t>Planned</t>
        </is>
      </c>
    </row>
    <row r="12">
      <c r="A12" s="2" t="inlineStr">
        <is>
          <t>MEM-REQ01</t>
        </is>
      </c>
      <c r="B12" s="2" t="n">
        <v>2</v>
      </c>
      <c r="C12" s="2" t="inlineStr">
        <is>
          <t>Member Profile &amp; Digital Membership</t>
        </is>
      </c>
      <c r="D12" s="2" t="inlineStr">
        <is>
          <t>Generate Digital Tax Club Membership Number</t>
        </is>
      </c>
      <c r="E12" s="2" t="inlineStr">
        <is>
          <t>High</t>
        </is>
      </c>
      <c r="F12" s="2" t="inlineStr">
        <is>
          <t>The system shall generate a unique Tax Club membership number for each successfully verified and activated Tax Club member.</t>
        </is>
      </c>
      <c r="G12" s="2" t="n">
        <v>7</v>
      </c>
      <c r="H12" s="2" t="inlineStr">
        <is>
          <t>Mobile / Web / Admin</t>
        </is>
      </c>
      <c r="I12" s="2" t="inlineStr">
        <is>
          <t>Partial</t>
        </is>
      </c>
      <c r="J12" s="2" t="inlineStr">
        <is>
          <t>Random TRA-XXXXXXXX assigned at registration. Must be issued only on activation, in approved format, sequence-based, retained for alumni.</t>
        </is>
      </c>
      <c r="K12" s="2" t="inlineStr">
        <is>
          <t>Workflow, Audit</t>
        </is>
      </c>
      <c r="L12" s="2" t="inlineStr">
        <is>
          <t>R1</t>
        </is>
      </c>
      <c r="M12" s="2" t="inlineStr">
        <is>
          <t>S2–S6</t>
        </is>
      </c>
      <c r="N12" s="2" t="inlineStr">
        <is>
          <t>S</t>
        </is>
      </c>
      <c r="O12" s="2" t="n">
        <v>2</v>
      </c>
      <c r="P12" s="2" t="inlineStr">
        <is>
          <t>D-03</t>
        </is>
      </c>
      <c r="Q12" s="2" t="inlineStr">
        <is>
          <t>TC-MEM-REQ01-01..07</t>
        </is>
      </c>
      <c r="R12" s="2" t="inlineStr">
        <is>
          <t>TRA Tax Club Programme Coordinator / System Administrator</t>
        </is>
      </c>
      <c r="S12" s="2" t="inlineStr">
        <is>
          <t>Done</t>
        </is>
      </c>
    </row>
    <row r="13">
      <c r="A13" s="2" t="inlineStr">
        <is>
          <t>MEM-REQ02</t>
        </is>
      </c>
      <c r="B13" s="2" t="n">
        <v>2</v>
      </c>
      <c r="C13" s="2" t="inlineStr">
        <is>
          <t>Member Profile &amp; Digital Membership</t>
        </is>
      </c>
      <c r="D13" s="2" t="inlineStr">
        <is>
          <t>Digital Tax Club Membership Card</t>
        </is>
      </c>
      <c r="E13" s="2" t="inlineStr">
        <is>
          <t>High</t>
        </is>
      </c>
      <c r="F13" s="2" t="inlineStr">
        <is>
          <t>The system shall generate and display a digital Tax Club membership card for each verified and active Tax Club member through the Mobile Application and Web Application.</t>
        </is>
      </c>
      <c r="G13" s="2" t="n">
        <v>9</v>
      </c>
      <c r="H13" s="2" t="inlineStr">
        <is>
          <t>Mobile / Web</t>
        </is>
      </c>
      <c r="I13" s="2" t="inlineStr">
        <is>
          <t>Not started</t>
        </is>
      </c>
      <c r="J13" s="2" t="inlineStr">
        <is>
          <t>No implementation in prototype.</t>
        </is>
      </c>
      <c r="K13" s="2" t="inlineStr">
        <is>
          <t>Workflow</t>
        </is>
      </c>
      <c r="L13" s="2" t="inlineStr">
        <is>
          <t>R1</t>
        </is>
      </c>
      <c r="M13" s="2" t="inlineStr">
        <is>
          <t>S2–S6</t>
        </is>
      </c>
      <c r="N13" s="2" t="inlineStr">
        <is>
          <t>L</t>
        </is>
      </c>
      <c r="O13" s="2" t="n">
        <v>8</v>
      </c>
      <c r="P13" s="2" t="inlineStr">
        <is>
          <t>D-03</t>
        </is>
      </c>
      <c r="Q13" s="2" t="inlineStr">
        <is>
          <t>TC-MEM-REQ02-01..09</t>
        </is>
      </c>
      <c r="R13" s="2" t="inlineStr">
        <is>
          <t>TRA Tax Club Programme Coordinator / Responsible Taxpayer Education Officer</t>
        </is>
      </c>
      <c r="S13" s="2" t="inlineStr">
        <is>
          <t>Done</t>
        </is>
      </c>
    </row>
    <row r="14">
      <c r="A14" s="2" t="inlineStr">
        <is>
          <t>MEM-REQ03</t>
        </is>
      </c>
      <c r="B14" s="2" t="n">
        <v>2</v>
      </c>
      <c r="C14" s="2" t="inlineStr">
        <is>
          <t>Member Profile &amp; Digital Membership</t>
        </is>
      </c>
      <c r="D14" s="2" t="inlineStr">
        <is>
          <t>Digital Membership Verification</t>
        </is>
      </c>
      <c r="E14" s="2" t="inlineStr">
        <is>
          <t>High</t>
        </is>
      </c>
      <c r="F14" s="2" t="inlineStr">
        <is>
          <t>The system shall allow an authorized user to verify the validity and current status of a Tax Club member's digital membership using the membership number, QR code or other approved verification mechanism.</t>
        </is>
      </c>
      <c r="G14" s="2" t="n">
        <v>7</v>
      </c>
      <c r="H14" s="2" t="inlineStr">
        <is>
          <t>Mobile / Web / Admin</t>
        </is>
      </c>
      <c r="I14" s="2" t="inlineStr">
        <is>
          <t>Not started</t>
        </is>
      </c>
      <c r="J14" s="2" t="inlineStr">
        <is>
          <t>No implementation in prototype.</t>
        </is>
      </c>
      <c r="K14" s="2" t="inlineStr">
        <is>
          <t>Workflow, Audience</t>
        </is>
      </c>
      <c r="L14" s="2" t="inlineStr">
        <is>
          <t>R1</t>
        </is>
      </c>
      <c r="M14" s="2" t="inlineStr">
        <is>
          <t>S2–S6</t>
        </is>
      </c>
      <c r="N14" s="2" t="inlineStr">
        <is>
          <t>M</t>
        </is>
      </c>
      <c r="O14" s="2" t="n">
        <v>5</v>
      </c>
      <c r="P14" s="2" t="inlineStr">
        <is>
          <t>D-13</t>
        </is>
      </c>
      <c r="Q14" s="2" t="inlineStr">
        <is>
          <t>TC-MEM-REQ03-01..07</t>
        </is>
      </c>
      <c r="R14" s="2" t="inlineStr">
        <is>
          <t>TRA Tax Club Programme Coordinator / Tax Club Patron</t>
        </is>
      </c>
      <c r="S14" s="2" t="inlineStr">
        <is>
          <t>Done</t>
        </is>
      </c>
    </row>
    <row r="15">
      <c r="A15" s="2" t="inlineStr">
        <is>
          <t>MEM-REQ04</t>
        </is>
      </c>
      <c r="B15" s="2" t="n">
        <v>2</v>
      </c>
      <c r="C15" s="2" t="inlineStr">
        <is>
          <t>Member Profile &amp; Digital Membership</t>
        </is>
      </c>
      <c r="D15" s="2" t="inlineStr">
        <is>
          <t>Membership Status Management</t>
        </is>
      </c>
      <c r="E15" s="2" t="inlineStr">
        <is>
          <t>High</t>
        </is>
      </c>
      <c r="F15" s="2" t="inlineStr">
        <is>
          <t>The system shall maintain and display the current Tax Club membership status of each member throughout the membership lifecycle.</t>
        </is>
      </c>
      <c r="G15" s="2" t="n">
        <v>8</v>
      </c>
      <c r="H15" s="2" t="inlineStr">
        <is>
          <t>Mobile / Web / Admin</t>
        </is>
      </c>
      <c r="I15" s="2" t="inlineStr">
        <is>
          <t>Not started</t>
        </is>
      </c>
      <c r="J15" s="2" t="inlineStr">
        <is>
          <t>No implementation in prototype.</t>
        </is>
      </c>
      <c r="K15" s="2" t="inlineStr">
        <is>
          <t>Workflow, Notifications, Audit</t>
        </is>
      </c>
      <c r="L15" s="2" t="inlineStr">
        <is>
          <t>R1</t>
        </is>
      </c>
      <c r="M15" s="2" t="inlineStr">
        <is>
          <t>S2–S6</t>
        </is>
      </c>
      <c r="N15" s="2" t="inlineStr">
        <is>
          <t>M</t>
        </is>
      </c>
      <c r="O15" s="2" t="n">
        <v>5</v>
      </c>
      <c r="P15" s="2" t="inlineStr"/>
      <c r="Q15" s="2" t="inlineStr">
        <is>
          <t>TC-MEM-REQ04-01..08</t>
        </is>
      </c>
      <c r="R15" s="2" t="inlineStr">
        <is>
          <t>TRA Tax Club Programme Coordinator / System Administrator</t>
        </is>
      </c>
      <c r="S15" s="2" t="inlineStr">
        <is>
          <t>In progress</t>
        </is>
      </c>
    </row>
    <row r="16">
      <c r="A16" s="2" t="inlineStr">
        <is>
          <t>INS-REQ01</t>
        </is>
      </c>
      <c r="B16" s="2" t="n">
        <v>3</v>
      </c>
      <c r="C16" s="2" t="inlineStr">
        <is>
          <t>Institution &amp; Tax Club Management</t>
        </is>
      </c>
      <c r="D16" s="2" t="inlineStr">
        <is>
          <t>Institution Registration</t>
        </is>
      </c>
      <c r="E16" s="2" t="inlineStr">
        <is>
          <t>High</t>
        </is>
      </c>
      <c r="F16" s="2" t="inlineStr">
        <is>
          <t>The system shall allow an authorized user to register an educational institution participating in the TRA Tax Club programme through the Administration Portal.</t>
        </is>
      </c>
      <c r="G16" s="2" t="n">
        <v>10</v>
      </c>
      <c r="H16" s="2" t="inlineStr">
        <is>
          <t>Mobile / Web / Admin</t>
        </is>
      </c>
      <c r="I16" s="2" t="inlineStr">
        <is>
          <t>Partial</t>
        </is>
      </c>
      <c r="J16" s="2" t="inlineStr">
        <is>
          <t>Create institution with name, type, region, district. Missing: unique code, contacts, has_tax_club, status, duplicate check, created_by, region/district master data.
UPDATE 17-Oct-2026: Admin form + CSV import: category, 31-region list, district, contacts, generated code (e.g. DSM-S-0042), duplicate check, created_by, active on creation.</t>
        </is>
      </c>
      <c r="K16" s="2" t="inlineStr">
        <is>
          <t>Workflow, Audit, Cases/Numbering, Scoped RBAC</t>
        </is>
      </c>
      <c r="L16" s="2" t="inlineStr">
        <is>
          <t>R1</t>
        </is>
      </c>
      <c r="M16" s="2" t="inlineStr">
        <is>
          <t>S2–S6</t>
        </is>
      </c>
      <c r="N16" s="2" t="inlineStr">
        <is>
          <t>M</t>
        </is>
      </c>
      <c r="O16" s="2" t="n">
        <v>4</v>
      </c>
      <c r="P16" s="2" t="inlineStr"/>
      <c r="Q16" s="2" t="inlineStr">
        <is>
          <t>TC-INS-REQ01-01..10</t>
        </is>
      </c>
      <c r="R16" s="2" t="inlineStr">
        <is>
          <t>TRA Tax Club Programme Coordinator / Responsible Taxpayer Education Officer</t>
        </is>
      </c>
      <c r="S16" s="2" t="inlineStr">
        <is>
          <t>Done</t>
        </is>
      </c>
    </row>
    <row r="17">
      <c r="A17" s="2" t="inlineStr">
        <is>
          <t>INS-REQ02</t>
        </is>
      </c>
      <c r="B17" s="2" t="n">
        <v>3</v>
      </c>
      <c r="C17" s="2" t="inlineStr">
        <is>
          <t>Institution &amp; Tax Club Management</t>
        </is>
      </c>
      <c r="D17" s="2" t="inlineStr">
        <is>
          <t>Update Institution Information</t>
        </is>
      </c>
      <c r="E17" s="2" t="inlineStr">
        <is>
          <t>High</t>
        </is>
      </c>
      <c r="F17" s="2" t="inlineStr">
        <is>
          <t>The system shall allow an authorized user to update approved information relating to a registered educational institution.</t>
        </is>
      </c>
      <c r="G17" s="2" t="n">
        <v>8</v>
      </c>
      <c r="H17" s="2" t="inlineStr">
        <is>
          <t>Mobile / Web / Admin</t>
        </is>
      </c>
      <c r="I17" s="2" t="inlineStr">
        <is>
          <t>Partial</t>
        </is>
      </c>
      <c r="J17" s="2" t="inlineStr">
        <is>
          <t>Update endpoint exists. Missing: audit history (before/after), identifier protection.
UPDATE 17-Oct-2026: Edit form with code protected and duplicate check. Still missing: before/after audit log of field changes (shared Audit service).</t>
        </is>
      </c>
      <c r="K17" s="2" t="inlineStr">
        <is>
          <t>Workflow, Audit, Scoped RBAC</t>
        </is>
      </c>
      <c r="L17" s="2" t="inlineStr">
        <is>
          <t>R1</t>
        </is>
      </c>
      <c r="M17" s="2" t="inlineStr">
        <is>
          <t>S2–S6</t>
        </is>
      </c>
      <c r="N17" s="2" t="inlineStr">
        <is>
          <t>S</t>
        </is>
      </c>
      <c r="O17" s="2" t="n">
        <v>2</v>
      </c>
      <c r="P17" s="2" t="inlineStr"/>
      <c r="Q17" s="2" t="inlineStr">
        <is>
          <t>TC-INS-REQ02-01..08</t>
        </is>
      </c>
      <c r="R17" s="2" t="inlineStr">
        <is>
          <t>TRA Tax Club Programme Coordinator / System Administrator</t>
        </is>
      </c>
      <c r="S17" s="2" t="inlineStr">
        <is>
          <t>In progress</t>
        </is>
      </c>
    </row>
    <row r="18">
      <c r="A18" s="2" t="inlineStr">
        <is>
          <t>INS-REQ03</t>
        </is>
      </c>
      <c r="B18" s="2" t="n">
        <v>3</v>
      </c>
      <c r="C18" s="2" t="inlineStr">
        <is>
          <t>Institution &amp; Tax Club Management</t>
        </is>
      </c>
      <c r="D18" s="2" t="inlineStr">
        <is>
          <t>Institution Activation and Deactivation</t>
        </is>
      </c>
      <c r="E18" s="2" t="inlineStr">
        <is>
          <t>High</t>
        </is>
      </c>
      <c r="F18" s="2" t="inlineStr">
        <is>
          <t>The system shall allow an authorized user to activate or deactivate a registered institution for participation in the TRA Tax Club Digital Platform.</t>
        </is>
      </c>
      <c r="G18" s="2" t="n">
        <v>9</v>
      </c>
      <c r="H18" s="2" t="inlineStr">
        <is>
          <t>Mobile / Web / Admin</t>
        </is>
      </c>
      <c r="I18" s="2" t="inlineStr">
        <is>
          <t>Not started</t>
        </is>
      </c>
      <c r="J18" s="2" t="inlineStr">
        <is>
          <t>No implementation in prototype.
UPDATE 17-Oct-2026: Activate/deactivate with mandatory reason and status history; inactive institutions hidden from registration and the public API; members kept.</t>
        </is>
      </c>
      <c r="K18" s="2" t="inlineStr">
        <is>
          <t>Workflow, Audit, Cases/Numbering</t>
        </is>
      </c>
      <c r="L18" s="2" t="inlineStr">
        <is>
          <t>R1</t>
        </is>
      </c>
      <c r="M18" s="2" t="inlineStr">
        <is>
          <t>S2–S6</t>
        </is>
      </c>
      <c r="N18" s="2" t="inlineStr">
        <is>
          <t>S</t>
        </is>
      </c>
      <c r="O18" s="2" t="n">
        <v>3</v>
      </c>
      <c r="P18" s="2" t="inlineStr"/>
      <c r="Q18" s="2" t="inlineStr">
        <is>
          <t>TC-INS-REQ03-01..09</t>
        </is>
      </c>
      <c r="R18" s="2" t="inlineStr">
        <is>
          <t>TRA Tax Club Programme Coordinator / Responsible Taxpayer Education Officer</t>
        </is>
      </c>
      <c r="S18" s="2" t="inlineStr">
        <is>
          <t>Done</t>
        </is>
      </c>
    </row>
    <row r="19">
      <c r="A19" s="2" t="inlineStr">
        <is>
          <t>INS-REQ04</t>
        </is>
      </c>
      <c r="B19" s="2" t="n">
        <v>3</v>
      </c>
      <c r="C19" s="2" t="inlineStr">
        <is>
          <t>Institution &amp; Tax Club Management</t>
        </is>
      </c>
      <c r="D19" s="2" t="inlineStr">
        <is>
          <t>Tax Club Establishment and Management</t>
        </is>
      </c>
      <c r="E19" s="2" t="inlineStr">
        <is>
          <t>High</t>
        </is>
      </c>
      <c r="F19" s="2" t="inlineStr">
        <is>
          <t>The system shall allow an authorized user to establish and manage a Tax Club under a registered educational institution.</t>
        </is>
      </c>
      <c r="G19" s="2" t="n">
        <v>9</v>
      </c>
      <c r="H19" s="2" t="inlineStr">
        <is>
          <t>Mobile / Web / Admin</t>
        </is>
      </c>
      <c r="I19" s="2" t="inlineStr">
        <is>
          <t>Not started</t>
        </is>
      </c>
      <c r="J19" s="2" t="inlineStr">
        <is>
          <t>No implementation in prototype.
UPDATE 17-Oct-2026: Tax Club per institution, establishment date, status with reason, one active club per institution.</t>
        </is>
      </c>
      <c r="K19" s="2" t="inlineStr">
        <is>
          <t>Workflow, Audience, Audit, Cases/Numbering, Scoped RBAC</t>
        </is>
      </c>
      <c r="L19" s="2" t="inlineStr">
        <is>
          <t>R1</t>
        </is>
      </c>
      <c r="M19" s="2" t="inlineStr">
        <is>
          <t>S2–S6</t>
        </is>
      </c>
      <c r="N19" s="2" t="inlineStr">
        <is>
          <t>M</t>
        </is>
      </c>
      <c r="O19" s="2" t="n">
        <v>5</v>
      </c>
      <c r="P19" s="2" t="inlineStr"/>
      <c r="Q19" s="2" t="inlineStr">
        <is>
          <t>TC-INS-REQ04-01..09</t>
        </is>
      </c>
      <c r="R19" s="2" t="inlineStr">
        <is>
          <t>TRA Tax Club Programme Coordinator / Responsible Taxpayer Education Officer</t>
        </is>
      </c>
      <c r="S19" s="2" t="inlineStr">
        <is>
          <t>Done</t>
        </is>
      </c>
    </row>
    <row r="20">
      <c r="A20" s="2" t="inlineStr">
        <is>
          <t>INS-REQ05</t>
        </is>
      </c>
      <c r="B20" s="2" t="n">
        <v>3</v>
      </c>
      <c r="C20" s="2" t="inlineStr">
        <is>
          <t>Institution &amp; Tax Club Management</t>
        </is>
      </c>
      <c r="D20" s="2" t="inlineStr">
        <is>
          <t>Tax Club Patron Assignment</t>
        </is>
      </c>
      <c r="E20" s="2" t="inlineStr">
        <is>
          <t>High</t>
        </is>
      </c>
      <c r="F20" s="2" t="inlineStr">
        <is>
          <t>The system shall allow an authorized user to assign, replace or remove a Tax Club Patron responsible for coordinating Tax Club activities within a registered educational institution.</t>
        </is>
      </c>
      <c r="G20" s="2" t="n">
        <v>9</v>
      </c>
      <c r="H20" s="2" t="inlineStr">
        <is>
          <t>Admin</t>
        </is>
      </c>
      <c r="I20" s="2" t="inlineStr">
        <is>
          <t>Not started</t>
        </is>
      </c>
      <c r="J20" s="2" t="inlineStr">
        <is>
          <t>No implementation in prototype.
UPDATE 17-Oct-2026: Assign patron by phone (existing user or new staff account with one-time password), start date, end with reason, history kept, Patron role granted/removed. Still missing: notification to the patron (Notifications module).</t>
        </is>
      </c>
      <c r="K20" s="2" t="inlineStr">
        <is>
          <t>Workflow, Notifications, Audit, Cases/Numbering</t>
        </is>
      </c>
      <c r="L20" s="2" t="inlineStr">
        <is>
          <t>R1</t>
        </is>
      </c>
      <c r="M20" s="2" t="inlineStr">
        <is>
          <t>S2–S6</t>
        </is>
      </c>
      <c r="N20" s="2" t="inlineStr">
        <is>
          <t>M</t>
        </is>
      </c>
      <c r="O20" s="2" t="n">
        <v>5</v>
      </c>
      <c r="P20" s="2" t="inlineStr"/>
      <c r="Q20" s="2" t="inlineStr">
        <is>
          <t>TC-INS-REQ05-01..09</t>
        </is>
      </c>
      <c r="R20" s="2" t="inlineStr">
        <is>
          <t>TRA Tax Club Programme Coordinator / Participating Educational Institution Representative</t>
        </is>
      </c>
      <c r="S20" s="2" t="inlineStr">
        <is>
          <t>In progress</t>
        </is>
      </c>
    </row>
    <row r="21">
      <c r="A21" s="2" t="inlineStr">
        <is>
          <t>INS-REQ06</t>
        </is>
      </c>
      <c r="B21" s="2" t="n">
        <v>3</v>
      </c>
      <c r="C21" s="2" t="inlineStr">
        <is>
          <t>Institution &amp; Tax Club Management</t>
        </is>
      </c>
      <c r="D21" s="2" t="inlineStr">
        <is>
          <t>TRA Tax Club Coordinator Assignment</t>
        </is>
      </c>
      <c r="E21" s="2" t="inlineStr">
        <is>
          <t>High</t>
        </is>
      </c>
      <c r="F21" s="2" t="inlineStr">
        <is>
          <t>The system shall allow an authorized user to assign TRA Tax Club Coordinators to institutions, Tax Clubs, regions or other approved programme areas.</t>
        </is>
      </c>
      <c r="G21" s="2" t="n">
        <v>8</v>
      </c>
      <c r="H21" s="2" t="inlineStr">
        <is>
          <t>Admin</t>
        </is>
      </c>
      <c r="I21" s="2" t="inlineStr">
        <is>
          <t>Not started</t>
        </is>
      </c>
      <c r="J21" s="2" t="inlineStr">
        <is>
          <t>No implementation in prototype.</t>
        </is>
      </c>
      <c r="K21" s="2" t="inlineStr">
        <is>
          <t>Workflow, Audit, Cases/Numbering, Scoped RBAC</t>
        </is>
      </c>
      <c r="L21" s="2" t="inlineStr">
        <is>
          <t>R1</t>
        </is>
      </c>
      <c r="M21" s="2" t="inlineStr">
        <is>
          <t>S2–S6</t>
        </is>
      </c>
      <c r="N21" s="2" t="inlineStr">
        <is>
          <t>L</t>
        </is>
      </c>
      <c r="O21" s="2" t="n">
        <v>8</v>
      </c>
      <c r="P21" s="2" t="inlineStr">
        <is>
          <t>D-09</t>
        </is>
      </c>
      <c r="Q21" s="2" t="inlineStr">
        <is>
          <t>TC-INS-REQ06-01..08</t>
        </is>
      </c>
      <c r="R21" s="2" t="inlineStr">
        <is>
          <t>TRA Taxpayer Education Management / Tax Club Programme Coordinator</t>
        </is>
      </c>
      <c r="S21" s="2" t="inlineStr">
        <is>
          <t>Planned</t>
        </is>
      </c>
    </row>
    <row r="22">
      <c r="A22" s="2" t="inlineStr">
        <is>
          <t>INS-REQ07</t>
        </is>
      </c>
      <c r="B22" s="2" t="n">
        <v>3</v>
      </c>
      <c r="C22" s="2" t="inlineStr">
        <is>
          <t>Institution &amp; Tax Club Management</t>
        </is>
      </c>
      <c r="D22" s="2" t="inlineStr">
        <is>
          <t>Search and View Institutions and Tax Clubs</t>
        </is>
      </c>
      <c r="E22" s="2" t="inlineStr">
        <is>
          <t>Medium</t>
        </is>
      </c>
      <c r="F22" s="2" t="inlineStr">
        <is>
          <t>The system shall allow authorized users to search, filter and view registered institutions and their associated Tax Clubs according to the user's access rights.</t>
        </is>
      </c>
      <c r="G22" s="2" t="n">
        <v>10</v>
      </c>
      <c r="H22" s="2" t="inlineStr">
        <is>
          <t>Mobile / Web / Admin</t>
        </is>
      </c>
      <c r="I22" s="2" t="inlineStr">
        <is>
          <t>Partial</t>
        </is>
      </c>
      <c r="J22" s="2" t="inlineStr">
        <is>
          <t>List supports search by name and filter by type/region. Missing: district/status/club filters, patron/coordinator display, stats, scope-restricted results.
UPDATE 17-Oct-2026: Search by name/code/district; filters by category, region, status; shows Tax Club and patrons. Still missing: coordinator display and region-scoped results (INS-REQ06).</t>
        </is>
      </c>
      <c r="K22" s="2" t="inlineStr">
        <is>
          <t>Workflow, Scoped RBAC</t>
        </is>
      </c>
      <c r="L22" s="2" t="inlineStr">
        <is>
          <t>R1</t>
        </is>
      </c>
      <c r="M22" s="2" t="inlineStr">
        <is>
          <t>S2–S6</t>
        </is>
      </c>
      <c r="N22" s="2" t="inlineStr">
        <is>
          <t>M</t>
        </is>
      </c>
      <c r="O22" s="2" t="n">
        <v>4</v>
      </c>
      <c r="P22" s="2" t="inlineStr"/>
      <c r="Q22" s="2" t="inlineStr">
        <is>
          <t>TC-INS-REQ07-01..10</t>
        </is>
      </c>
      <c r="R22" s="2" t="inlineStr">
        <is>
          <t>TRA Tax Club Programme Coordinator / Tax Education Management</t>
        </is>
      </c>
      <c r="S22" s="2" t="inlineStr">
        <is>
          <t>In progress</t>
        </is>
      </c>
    </row>
    <row r="23">
      <c r="A23" s="2" t="inlineStr">
        <is>
          <t>INS-REQ08</t>
        </is>
      </c>
      <c r="B23" s="2" t="n">
        <v>3</v>
      </c>
      <c r="C23" s="2" t="inlineStr">
        <is>
          <t>Institution &amp; Tax Club Management</t>
        </is>
      </c>
      <c r="D23" s="2" t="inlineStr">
        <is>
          <t>Institution and Tax Club Membership Statistics</t>
        </is>
      </c>
      <c r="E23" s="2" t="inlineStr">
        <is>
          <t>Medium</t>
        </is>
      </c>
      <c r="F23" s="2" t="inlineStr">
        <is>
          <t>The system shall calculate and display approved membership statistics for each registered institution and Tax Club.</t>
        </is>
      </c>
      <c r="G23" s="2" t="n">
        <v>8</v>
      </c>
      <c r="H23" s="2" t="inlineStr">
        <is>
          <t>Mobile / Web / Admin</t>
        </is>
      </c>
      <c r="I23" s="2" t="inlineStr">
        <is>
          <t>Not started</t>
        </is>
      </c>
      <c r="J23" s="2" t="inlineStr">
        <is>
          <t>No implementation in prototype.
UPDATE 17-Oct-2026: Per-institution active, waiting and alumni counts (staff excluded). Still missing: category breakdown and dashboard/report export.</t>
        </is>
      </c>
      <c r="K23" s="2" t="inlineStr">
        <is>
          <t>Workflow, Scoped RBAC</t>
        </is>
      </c>
      <c r="L23" s="2" t="inlineStr">
        <is>
          <t>R1</t>
        </is>
      </c>
      <c r="M23" s="2" t="inlineStr">
        <is>
          <t>S2–S6</t>
        </is>
      </c>
      <c r="N23" s="2" t="inlineStr">
        <is>
          <t>M</t>
        </is>
      </c>
      <c r="O23" s="2" t="n">
        <v>5</v>
      </c>
      <c r="P23" s="2" t="inlineStr"/>
      <c r="Q23" s="2" t="inlineStr">
        <is>
          <t>TC-INS-REQ08-01..08</t>
        </is>
      </c>
      <c r="R23" s="2" t="inlineStr">
        <is>
          <t>TRA Tax Club Programme Coordinator / Monitoring and Evaluation Responsible Officer</t>
        </is>
      </c>
      <c r="S23" s="2" t="inlineStr">
        <is>
          <t>In progress</t>
        </is>
      </c>
    </row>
    <row r="24">
      <c r="A24" s="2" t="inlineStr">
        <is>
          <t>LRN-REQ01</t>
        </is>
      </c>
      <c r="B24" s="2" t="n">
        <v>4</v>
      </c>
      <c r="C24" s="2" t="inlineStr">
        <is>
          <t>Learning &amp; Content Management</t>
        </is>
      </c>
      <c r="D24" s="2" t="inlineStr">
        <is>
          <t>Create Learning Content</t>
        </is>
      </c>
      <c r="E24" s="2" t="inlineStr">
        <is>
          <t>High</t>
        </is>
      </c>
      <c r="F24" s="2" t="inlineStr">
        <is>
          <t>The system shall allow an authorized content officer to create and save Tax Club learning content through the Administration Portal.</t>
        </is>
      </c>
      <c r="G24" s="2" t="n">
        <v>9</v>
      </c>
      <c r="H24" s="2" t="inlineStr">
        <is>
          <t>Mobile / Web / Admin</t>
        </is>
      </c>
      <c r="I24" s="2" t="inlineStr">
        <is>
          <t>Partial</t>
        </is>
      </c>
      <c r="J24" s="2" t="inlineStr">
        <is>
          <t>Admin create with title, type (video/article/infographic/quiz), file_url, rich-text body. Missing: categories, summary/objectives, uploads with validation, Draft status, content code, more content types.</t>
        </is>
      </c>
      <c r="K24" s="2" t="inlineStr">
        <is>
          <t>Workflow, Audience, Audit, Cases/Numbering</t>
        </is>
      </c>
      <c r="L24" s="2" t="inlineStr">
        <is>
          <t>R2</t>
        </is>
      </c>
      <c r="M24" s="2" t="inlineStr">
        <is>
          <t>S7–S9</t>
        </is>
      </c>
      <c r="N24" s="2" t="inlineStr">
        <is>
          <t>L</t>
        </is>
      </c>
      <c r="O24" s="2" t="n">
        <v>6</v>
      </c>
      <c r="P24" s="2" t="inlineStr"/>
      <c r="Q24" s="2" t="inlineStr">
        <is>
          <t>TC-LRN-REQ01-01..09</t>
        </is>
      </c>
      <c r="R24" s="2" t="inlineStr">
        <is>
          <t>TRA Taxpayer Education / Content Management Responsible Officer</t>
        </is>
      </c>
      <c r="S24" s="2" t="inlineStr">
        <is>
          <t>Planned</t>
        </is>
      </c>
    </row>
    <row r="25">
      <c r="A25" s="2" t="inlineStr">
        <is>
          <t>LRN-REQ02</t>
        </is>
      </c>
      <c r="B25" s="2" t="n">
        <v>4</v>
      </c>
      <c r="C25" s="2" t="inlineStr">
        <is>
          <t>Learning &amp; Content Management</t>
        </is>
      </c>
      <c r="D25" s="2" t="inlineStr">
        <is>
          <t>Review and Approve Learning Content</t>
        </is>
      </c>
      <c r="E25" s="2" t="inlineStr">
        <is>
          <t>High</t>
        </is>
      </c>
      <c r="F25" s="2" t="inlineStr">
        <is>
          <t>The system shall allow an authorized reviewer or approver to review, approve, reject or return submitted learning content for correction before publication.</t>
        </is>
      </c>
      <c r="G25" s="2" t="n">
        <v>9</v>
      </c>
      <c r="H25" s="2" t="inlineStr">
        <is>
          <t>Admin</t>
        </is>
      </c>
      <c r="I25" s="2" t="inlineStr">
        <is>
          <t>Not started</t>
        </is>
      </c>
      <c r="J25" s="2" t="inlineStr">
        <is>
          <t>No implementation in prototype.</t>
        </is>
      </c>
      <c r="K25" s="2" t="inlineStr">
        <is>
          <t>Workflow, Audience, Notifications, Audit</t>
        </is>
      </c>
      <c r="L25" s="2" t="inlineStr">
        <is>
          <t>R2</t>
        </is>
      </c>
      <c r="M25" s="2" t="inlineStr">
        <is>
          <t>S7–S9</t>
        </is>
      </c>
      <c r="N25" s="2" t="inlineStr">
        <is>
          <t>M</t>
        </is>
      </c>
      <c r="O25" s="2" t="n">
        <v>5</v>
      </c>
      <c r="P25" s="2" t="inlineStr"/>
      <c r="Q25" s="2" t="inlineStr">
        <is>
          <t>TC-LRN-REQ02-01..09</t>
        </is>
      </c>
      <c r="R25" s="2" t="inlineStr">
        <is>
          <t>TRA Taxpayer Education Content Reviewer / Relevant TRA Subject Matter Expert</t>
        </is>
      </c>
      <c r="S25" s="2" t="inlineStr">
        <is>
          <t>Planned</t>
        </is>
      </c>
    </row>
    <row r="26">
      <c r="A26" s="2" t="inlineStr">
        <is>
          <t>LRN-REQ03</t>
        </is>
      </c>
      <c r="B26" s="2" t="n">
        <v>4</v>
      </c>
      <c r="C26" s="2" t="inlineStr">
        <is>
          <t>Learning &amp; Content Management</t>
        </is>
      </c>
      <c r="D26" s="2" t="inlineStr">
        <is>
          <t>Publish, Schedule, Unpublish and Archive Learning Content</t>
        </is>
      </c>
      <c r="E26" s="2" t="inlineStr">
        <is>
          <t>High</t>
        </is>
      </c>
      <c r="F26" s="2" t="inlineStr">
        <is>
          <t>The system shall allow an authorized user to publish, schedule, unpublish or archive approved learning content through the Administration Portal.</t>
        </is>
      </c>
      <c r="G26" s="2" t="n">
        <v>9</v>
      </c>
      <c r="H26" s="2" t="inlineStr">
        <is>
          <t>Mobile / Web / Admin</t>
        </is>
      </c>
      <c r="I26" s="2" t="inlineStr">
        <is>
          <t>Partial</t>
        </is>
      </c>
      <c r="J26" s="2" t="inlineStr">
        <is>
          <t>is_active toggle and published_at only. Missing: approved-only publishing, scheduling, expiry, archive, history.</t>
        </is>
      </c>
      <c r="K26" s="2" t="inlineStr">
        <is>
          <t>Workflow, Audience, Audit</t>
        </is>
      </c>
      <c r="L26" s="2" t="inlineStr">
        <is>
          <t>R2</t>
        </is>
      </c>
      <c r="M26" s="2" t="inlineStr">
        <is>
          <t>S7–S9</t>
        </is>
      </c>
      <c r="N26" s="2" t="inlineStr">
        <is>
          <t>M</t>
        </is>
      </c>
      <c r="O26" s="2" t="n">
        <v>4</v>
      </c>
      <c r="P26" s="2" t="inlineStr"/>
      <c r="Q26" s="2" t="inlineStr">
        <is>
          <t>TC-LRN-REQ03-01..09</t>
        </is>
      </c>
      <c r="R26" s="2" t="inlineStr">
        <is>
          <t>TRA Taxpayer Education / Content Publication Responsible Officer</t>
        </is>
      </c>
      <c r="S26" s="2" t="inlineStr">
        <is>
          <t>Planned</t>
        </is>
      </c>
    </row>
    <row r="27">
      <c r="A27" s="2" t="inlineStr">
        <is>
          <t>LRN-REQ04</t>
        </is>
      </c>
      <c r="B27" s="2" t="n">
        <v>4</v>
      </c>
      <c r="C27" s="2" t="inlineStr">
        <is>
          <t>Learning &amp; Content Management</t>
        </is>
      </c>
      <c r="D27" s="2" t="inlineStr">
        <is>
          <t>Categorize and Target Learning Content</t>
        </is>
      </c>
      <c r="E27" s="2" t="inlineStr">
        <is>
          <t>High</t>
        </is>
      </c>
      <c r="F27" s="2" t="inlineStr">
        <is>
          <t>The system shall allow authorized users to categorize learning content and define the member groups to which the content is applicable.</t>
        </is>
      </c>
      <c r="G27" s="2" t="n">
        <v>8</v>
      </c>
      <c r="H27" s="2" t="inlineStr">
        <is>
          <t>Mobile / Web / Admin</t>
        </is>
      </c>
      <c r="I27" s="2" t="inlineStr">
        <is>
          <t>Not started</t>
        </is>
      </c>
      <c r="J27" s="2" t="inlineStr">
        <is>
          <t>No implementation in prototype.</t>
        </is>
      </c>
      <c r="K27" s="2" t="inlineStr">
        <is>
          <t>Workflow, Audience, Cases/Numbering, Safeguarding, Scoped RBAC</t>
        </is>
      </c>
      <c r="L27" s="2" t="inlineStr">
        <is>
          <t>R2</t>
        </is>
      </c>
      <c r="M27" s="2" t="inlineStr">
        <is>
          <t>S7–S9</t>
        </is>
      </c>
      <c r="N27" s="2" t="inlineStr">
        <is>
          <t>M</t>
        </is>
      </c>
      <c r="O27" s="2" t="n">
        <v>5</v>
      </c>
      <c r="P27" s="2" t="inlineStr"/>
      <c r="Q27" s="2" t="inlineStr">
        <is>
          <t>TC-LRN-REQ04-01..08</t>
        </is>
      </c>
      <c r="R27" s="2" t="inlineStr">
        <is>
          <t>TRA Taxpayer Education / Learning Content Management Officer</t>
        </is>
      </c>
      <c r="S27" s="2" t="inlineStr">
        <is>
          <t>Planned</t>
        </is>
      </c>
    </row>
    <row r="28">
      <c r="A28" s="2" t="inlineStr">
        <is>
          <t>LRN-REQ05</t>
        </is>
      </c>
      <c r="B28" s="2" t="n">
        <v>4</v>
      </c>
      <c r="C28" s="2" t="inlineStr">
        <is>
          <t>Learning &amp; Content Management</t>
        </is>
      </c>
      <c r="D28" s="2" t="inlineStr">
        <is>
          <t>Access and View Learning Content</t>
        </is>
      </c>
      <c r="E28" s="2" t="inlineStr">
        <is>
          <t>High</t>
        </is>
      </c>
      <c r="F28" s="2" t="inlineStr">
        <is>
          <t>The system shall allow an authenticated eligible member to access and view approved published learning content through the Mobile Application and Web Application.</t>
        </is>
      </c>
      <c r="G28" s="2" t="n">
        <v>8</v>
      </c>
      <c r="H28" s="2" t="inlineStr">
        <is>
          <t>Mobile / Web</t>
        </is>
      </c>
      <c r="I28" s="2" t="inlineStr">
        <is>
          <t>Partial</t>
        </is>
      </c>
      <c r="J28" s="2" t="inlineStr">
        <is>
          <t>Members list/view active content with own progress. Missing: targeting, browse by category, engagement analytics, resume, low-bandwidth media.</t>
        </is>
      </c>
      <c r="K28" s="2" t="inlineStr">
        <is>
          <t>Workflow, Audience, Cases/Numbering</t>
        </is>
      </c>
      <c r="L28" s="2" t="inlineStr">
        <is>
          <t>R2</t>
        </is>
      </c>
      <c r="M28" s="2" t="inlineStr">
        <is>
          <t>S7–S9</t>
        </is>
      </c>
      <c r="N28" s="2" t="inlineStr">
        <is>
          <t>L</t>
        </is>
      </c>
      <c r="O28" s="2" t="n">
        <v>6</v>
      </c>
      <c r="P28" s="2" t="inlineStr"/>
      <c r="Q28" s="2" t="inlineStr">
        <is>
          <t>TC-LRN-REQ05-01..08</t>
        </is>
      </c>
      <c r="R28" s="2" t="inlineStr">
        <is>
          <t>TRA Taxpayer Education / Tax Club Programme Responsible Officer</t>
        </is>
      </c>
      <c r="S28" s="2" t="inlineStr">
        <is>
          <t>Planned</t>
        </is>
      </c>
    </row>
    <row r="29">
      <c r="A29" s="2" t="inlineStr">
        <is>
          <t>LRN-REQ06</t>
        </is>
      </c>
      <c r="B29" s="2" t="n">
        <v>4</v>
      </c>
      <c r="C29" s="2" t="inlineStr">
        <is>
          <t>Learning &amp; Content Management</t>
        </is>
      </c>
      <c r="D29" s="2" t="inlineStr">
        <is>
          <t>Learning Module Progress Tracking</t>
        </is>
      </c>
      <c r="E29" s="2" t="inlineStr">
        <is>
          <t>High</t>
        </is>
      </c>
      <c r="F29" s="2" t="inlineStr">
        <is>
          <t>The system shall record and maintain an eligible member’s progress through structured learning modules and display the member’s current learning status.</t>
        </is>
      </c>
      <c r="G29" s="2" t="n">
        <v>9</v>
      </c>
      <c r="H29" s="2" t="inlineStr">
        <is>
          <t>Mobile / Web / Admin</t>
        </is>
      </c>
      <c r="I29" s="2" t="inlineStr">
        <is>
          <t>Partial</t>
        </is>
      </c>
      <c r="J29" s="2" t="inlineStr">
        <is>
          <t>user_progress per content item (not_started/in_progress/completed). Missing: structured modules/lessons, mandatory components, resume position, version-aware history.</t>
        </is>
      </c>
      <c r="K29" s="2" t="inlineStr">
        <is>
          <t>Workflow, Audience, Audit</t>
        </is>
      </c>
      <c r="L29" s="2" t="inlineStr">
        <is>
          <t>R2</t>
        </is>
      </c>
      <c r="M29" s="2" t="inlineStr">
        <is>
          <t>S7–S9</t>
        </is>
      </c>
      <c r="N29" s="2" t="inlineStr">
        <is>
          <t>L</t>
        </is>
      </c>
      <c r="O29" s="2" t="n">
        <v>6</v>
      </c>
      <c r="P29" s="2" t="inlineStr"/>
      <c r="Q29" s="2" t="inlineStr">
        <is>
          <t>TC-LRN-REQ06-01..09</t>
        </is>
      </c>
      <c r="R29" s="2" t="inlineStr">
        <is>
          <t>TRA Taxpayer Education / Monitoring and Evaluation Responsible Officer</t>
        </is>
      </c>
      <c r="S29" s="2" t="inlineStr">
        <is>
          <t>Planned</t>
        </is>
      </c>
    </row>
    <row r="30">
      <c r="A30" s="2" t="inlineStr">
        <is>
          <t>LRN-REQ07</t>
        </is>
      </c>
      <c r="B30" s="2" t="n">
        <v>4</v>
      </c>
      <c r="C30" s="2" t="inlineStr">
        <is>
          <t>Learning &amp; Content Management</t>
        </is>
      </c>
      <c r="D30" s="2" t="inlineStr">
        <is>
          <t>Search and Filter Learning Content</t>
        </is>
      </c>
      <c r="E30" s="2" t="inlineStr">
        <is>
          <t>Medium</t>
        </is>
      </c>
      <c r="F30" s="2" t="inlineStr">
        <is>
          <t>The system shall allow members to search and filter approved learning content through the Mobile Application and Web Application.</t>
        </is>
      </c>
      <c r="G30" s="2" t="n">
        <v>9</v>
      </c>
      <c r="H30" s="2" t="inlineStr">
        <is>
          <t>Mobile / Web / Admin</t>
        </is>
      </c>
      <c r="I30" s="2" t="inlineStr">
        <is>
          <t>Partial</t>
        </is>
      </c>
      <c r="J30" s="2" t="inlineStr">
        <is>
          <t>Title search and type filter. Missing: keywords/tags, category &amp; level filters, relevance ordering, eligibility filtering.</t>
        </is>
      </c>
      <c r="K30" s="2" t="inlineStr">
        <is>
          <t>Workflow, Audience</t>
        </is>
      </c>
      <c r="L30" s="2" t="inlineStr">
        <is>
          <t>R2</t>
        </is>
      </c>
      <c r="M30" s="2" t="inlineStr">
        <is>
          <t>S7–S9</t>
        </is>
      </c>
      <c r="N30" s="2" t="inlineStr">
        <is>
          <t>M</t>
        </is>
      </c>
      <c r="O30" s="2" t="n">
        <v>4</v>
      </c>
      <c r="P30" s="2" t="inlineStr"/>
      <c r="Q30" s="2" t="inlineStr">
        <is>
          <t>TC-LRN-REQ07-01..09</t>
        </is>
      </c>
      <c r="R30" s="2" t="inlineStr">
        <is>
          <t>TRA Taxpayer Education / Content Management Responsible Officer</t>
        </is>
      </c>
      <c r="S30" s="2" t="inlineStr">
        <is>
          <t>Planned</t>
        </is>
      </c>
    </row>
    <row r="31">
      <c r="A31" s="2" t="inlineStr">
        <is>
          <t>LRN-REQ08</t>
        </is>
      </c>
      <c r="B31" s="2" t="n">
        <v>4</v>
      </c>
      <c r="C31" s="2" t="inlineStr">
        <is>
          <t>Learning &amp; Content Management</t>
        </is>
      </c>
      <c r="D31" s="2" t="inlineStr">
        <is>
          <t>Content Versioning and Tax Information Updates</t>
        </is>
      </c>
      <c r="E31" s="2" t="inlineStr">
        <is>
          <t>High</t>
        </is>
      </c>
      <c r="F31" s="2" t="inlineStr">
        <is>
          <t>The system shall maintain controlled versions of learning content when approved information is revised and shall ensure that members are presented with the current published version.</t>
        </is>
      </c>
      <c r="G31" s="2" t="n">
        <v>9</v>
      </c>
      <c r="H31" s="2" t="inlineStr">
        <is>
          <t>Mobile / Web / Admin</t>
        </is>
      </c>
      <c r="I31" s="2" t="inlineStr">
        <is>
          <t>Not started</t>
        </is>
      </c>
      <c r="J31" s="2" t="inlineStr">
        <is>
          <t>No implementation in prototype.</t>
        </is>
      </c>
      <c r="K31" s="2" t="inlineStr">
        <is>
          <t>Workflow, Notifications, Audit, Safeguarding</t>
        </is>
      </c>
      <c r="L31" s="2" t="inlineStr">
        <is>
          <t>R2</t>
        </is>
      </c>
      <c r="M31" s="2" t="inlineStr">
        <is>
          <t>S7–S9</t>
        </is>
      </c>
      <c r="N31" s="2" t="inlineStr">
        <is>
          <t>L</t>
        </is>
      </c>
      <c r="O31" s="2" t="n">
        <v>8</v>
      </c>
      <c r="P31" s="2" t="inlineStr">
        <is>
          <t>D-10</t>
        </is>
      </c>
      <c r="Q31" s="2" t="inlineStr">
        <is>
          <t>TC-LRN-REQ08-01..09</t>
        </is>
      </c>
      <c r="R31" s="2" t="inlineStr">
        <is>
          <t>TRA Taxpayer Education / Relevant Tax Subject Matter Expert</t>
        </is>
      </c>
      <c r="S31" s="2" t="inlineStr">
        <is>
          <t>Planned</t>
        </is>
      </c>
    </row>
    <row r="32">
      <c r="A32" s="2" t="inlineStr">
        <is>
          <t>COM-REQ01</t>
        </is>
      </c>
      <c r="B32" s="2" t="n">
        <v>5</v>
      </c>
      <c r="C32" s="2" t="inlineStr">
        <is>
          <t>Questions, Expert Engagement &amp; Community</t>
        </is>
      </c>
      <c r="D32" s="2" t="inlineStr">
        <is>
          <t>Submit Tax-Related Question</t>
        </is>
      </c>
      <c r="E32" s="2" t="inlineStr">
        <is>
          <t>High</t>
        </is>
      </c>
      <c r="F32" s="2" t="inlineStr">
        <is>
          <t>The system shall allow an authenticated Tax Club member to submit a tax-related question to TRA through the Mobile Application or Web Application.</t>
        </is>
      </c>
      <c r="G32" s="2" t="n">
        <v>9</v>
      </c>
      <c r="H32" s="2" t="inlineStr">
        <is>
          <t>Mobile / Web</t>
        </is>
      </c>
      <c r="I32" s="2" t="inlineStr">
        <is>
          <t>Not started</t>
        </is>
      </c>
      <c r="J32" s="2" t="inlineStr">
        <is>
          <t>No implementation in prototype.</t>
        </is>
      </c>
      <c r="K32" s="2" t="inlineStr">
        <is>
          <t>Workflow, Notifications, Cases/Numbering</t>
        </is>
      </c>
      <c r="L32" s="2" t="inlineStr">
        <is>
          <t>R4</t>
        </is>
      </c>
      <c r="M32" s="2" t="inlineStr">
        <is>
          <t>S14–S17</t>
        </is>
      </c>
      <c r="N32" s="2" t="inlineStr">
        <is>
          <t>M</t>
        </is>
      </c>
      <c r="O32" s="2" t="n">
        <v>5</v>
      </c>
      <c r="P32" s="2" t="inlineStr"/>
      <c r="Q32" s="2" t="inlineStr">
        <is>
          <t>TC-COM-REQ01-01..09</t>
        </is>
      </c>
      <c r="R32" s="2" t="inlineStr">
        <is>
          <t>TRA Taxpayer Education / Tax Subject Matter Expert</t>
        </is>
      </c>
      <c r="S32" s="2" t="inlineStr">
        <is>
          <t>Planned</t>
        </is>
      </c>
    </row>
    <row r="33">
      <c r="A33" s="2" t="inlineStr">
        <is>
          <t>COM-REQ02</t>
        </is>
      </c>
      <c r="B33" s="2" t="n">
        <v>5</v>
      </c>
      <c r="C33" s="2" t="inlineStr">
        <is>
          <t>Questions, Expert Engagement &amp; Community</t>
        </is>
      </c>
      <c r="D33" s="2" t="inlineStr">
        <is>
          <t>Review, Categorize and Assign Submitted Questions</t>
        </is>
      </c>
      <c r="E33" s="2" t="inlineStr">
        <is>
          <t>High</t>
        </is>
      </c>
      <c r="F33" s="2" t="inlineStr">
        <is>
          <t>The system shall allow an authorized TRA officer to review, categorize and assign submitted member questions to an appropriate TRA subject matter expert for response.</t>
        </is>
      </c>
      <c r="G33" s="2" t="n">
        <v>8</v>
      </c>
      <c r="H33" s="2" t="inlineStr">
        <is>
          <t>Mobile / Web / Admin</t>
        </is>
      </c>
      <c r="I33" s="2" t="inlineStr">
        <is>
          <t>Not started</t>
        </is>
      </c>
      <c r="J33" s="2" t="inlineStr">
        <is>
          <t>No implementation in prototype.</t>
        </is>
      </c>
      <c r="K33" s="2" t="inlineStr">
        <is>
          <t>Workflow, Notifications, Audit, Cases/Numbering, Scoped RBAC</t>
        </is>
      </c>
      <c r="L33" s="2" t="inlineStr">
        <is>
          <t>R4</t>
        </is>
      </c>
      <c r="M33" s="2" t="inlineStr">
        <is>
          <t>S14–S17</t>
        </is>
      </c>
      <c r="N33" s="2" t="inlineStr">
        <is>
          <t>M</t>
        </is>
      </c>
      <c r="O33" s="2" t="n">
        <v>5</v>
      </c>
      <c r="P33" s="2" t="inlineStr"/>
      <c r="Q33" s="2" t="inlineStr">
        <is>
          <t>TC-COM-REQ02-01..08</t>
        </is>
      </c>
      <c r="R33" s="2" t="inlineStr">
        <is>
          <t>TRA Taxpayer Education Coordinator / Tax Subject Matter Expert</t>
        </is>
      </c>
      <c r="S33" s="2" t="inlineStr">
        <is>
          <t>Planned</t>
        </is>
      </c>
    </row>
    <row r="34">
      <c r="A34" s="2" t="inlineStr">
        <is>
          <t>COM-REQ03</t>
        </is>
      </c>
      <c r="B34" s="2" t="n">
        <v>5</v>
      </c>
      <c r="C34" s="2" t="inlineStr">
        <is>
          <t>Questions, Expert Engagement &amp; Community</t>
        </is>
      </c>
      <c r="D34" s="2" t="inlineStr">
        <is>
          <t>TRA Expert Response to Member Questions</t>
        </is>
      </c>
      <c r="E34" s="2" t="inlineStr">
        <is>
          <t>High</t>
        </is>
      </c>
      <c r="F34" s="2" t="inlineStr">
        <is>
          <t>The system shall allow an assigned TRA subject matter expert to prepare and submit a response to a member question through the Administration Portal.</t>
        </is>
      </c>
      <c r="G34" s="2" t="n">
        <v>8</v>
      </c>
      <c r="H34" s="2" t="inlineStr">
        <is>
          <t>Mobile / Web / Admin</t>
        </is>
      </c>
      <c r="I34" s="2" t="inlineStr">
        <is>
          <t>Not started</t>
        </is>
      </c>
      <c r="J34" s="2" t="inlineStr">
        <is>
          <t>No implementation in prototype.</t>
        </is>
      </c>
      <c r="K34" s="2" t="inlineStr">
        <is>
          <t>Workflow, Notifications, Audit, Cases/Numbering, Scoped RBAC</t>
        </is>
      </c>
      <c r="L34" s="2" t="inlineStr">
        <is>
          <t>R4</t>
        </is>
      </c>
      <c r="M34" s="2" t="inlineStr">
        <is>
          <t>S14–S17</t>
        </is>
      </c>
      <c r="N34" s="2" t="inlineStr">
        <is>
          <t>M</t>
        </is>
      </c>
      <c r="O34" s="2" t="n">
        <v>5</v>
      </c>
      <c r="P34" s="2" t="inlineStr"/>
      <c r="Q34" s="2" t="inlineStr">
        <is>
          <t>TC-COM-REQ03-01..08</t>
        </is>
      </c>
      <c r="R34" s="2" t="inlineStr">
        <is>
          <t>TRA Tax Subject Matter Expert / Responsible Technical Department</t>
        </is>
      </c>
      <c r="S34" s="2" t="inlineStr">
        <is>
          <t>Planned</t>
        </is>
      </c>
    </row>
    <row r="35">
      <c r="A35" s="2" t="inlineStr">
        <is>
          <t>COM-REQ04</t>
        </is>
      </c>
      <c r="B35" s="2" t="n">
        <v>5</v>
      </c>
      <c r="C35" s="2" t="inlineStr">
        <is>
          <t>Questions, Expert Engagement &amp; Community</t>
        </is>
      </c>
      <c r="D35" s="2" t="inlineStr">
        <is>
          <t>Review, Approve and Publish Questions and Answers</t>
        </is>
      </c>
      <c r="E35" s="2" t="inlineStr">
        <is>
          <t>High</t>
        </is>
      </c>
      <c r="F35" s="2" t="inlineStr">
        <is>
          <t>The system shall allow an authorized reviewer to review, approve, reject or return an expert response and publish approved questions and answers to the intended member or approved knowledge area.</t>
        </is>
      </c>
      <c r="G35" s="2" t="n">
        <v>8</v>
      </c>
      <c r="H35" s="2" t="inlineStr">
        <is>
          <t>Mobile / Web / Admin</t>
        </is>
      </c>
      <c r="I35" s="2" t="inlineStr">
        <is>
          <t>Not started</t>
        </is>
      </c>
      <c r="J35" s="2" t="inlineStr">
        <is>
          <t>No implementation in prototype.</t>
        </is>
      </c>
      <c r="K35" s="2" t="inlineStr">
        <is>
          <t>Workflow, Notifications, Audit, Cases/Numbering, Scoped RBAC</t>
        </is>
      </c>
      <c r="L35" s="2" t="inlineStr">
        <is>
          <t>R4</t>
        </is>
      </c>
      <c r="M35" s="2" t="inlineStr">
        <is>
          <t>S14–S17</t>
        </is>
      </c>
      <c r="N35" s="2" t="inlineStr">
        <is>
          <t>M</t>
        </is>
      </c>
      <c r="O35" s="2" t="n">
        <v>5</v>
      </c>
      <c r="P35" s="2" t="inlineStr">
        <is>
          <t>D-14</t>
        </is>
      </c>
      <c r="Q35" s="2" t="inlineStr">
        <is>
          <t>TC-COM-REQ04-01..08</t>
        </is>
      </c>
      <c r="R35" s="2" t="inlineStr">
        <is>
          <t>TRA Taxpayer Education Content Reviewer / Tax Subject Matter Expert</t>
        </is>
      </c>
      <c r="S35" s="2" t="inlineStr">
        <is>
          <t>Planned</t>
        </is>
      </c>
    </row>
    <row r="36">
      <c r="A36" s="2" t="inlineStr">
        <is>
          <t>COM-REQ05</t>
        </is>
      </c>
      <c r="B36" s="2" t="n">
        <v>5</v>
      </c>
      <c r="C36" s="2" t="inlineStr">
        <is>
          <t>Questions, Expert Engagement &amp; Community</t>
        </is>
      </c>
      <c r="D36" s="2" t="inlineStr">
        <is>
          <t>Create and Manage Community Discussion Spaces</t>
        </is>
      </c>
      <c r="E36" s="2" t="inlineStr">
        <is>
          <t>High</t>
        </is>
      </c>
      <c r="F36" s="2" t="inlineStr">
        <is>
          <t>The system shall allow authorized users to create and manage moderated community discussion spaces for national, institutional, thematic, event, competition or other approved Tax Club engagement purposes.</t>
        </is>
      </c>
      <c r="G36" s="2" t="n">
        <v>8</v>
      </c>
      <c r="H36" s="2" t="inlineStr">
        <is>
          <t>Mobile / Web / Admin</t>
        </is>
      </c>
      <c r="I36" s="2" t="inlineStr">
        <is>
          <t>Not started</t>
        </is>
      </c>
      <c r="J36" s="2" t="inlineStr">
        <is>
          <t>No implementation in prototype.</t>
        </is>
      </c>
      <c r="K36" s="2" t="inlineStr">
        <is>
          <t>Workflow, Audience, Audit, Cases/Numbering, Safeguarding</t>
        </is>
      </c>
      <c r="L36" s="2" t="inlineStr">
        <is>
          <t>R4</t>
        </is>
      </c>
      <c r="M36" s="2" t="inlineStr">
        <is>
          <t>S14–S17</t>
        </is>
      </c>
      <c r="N36" s="2" t="inlineStr">
        <is>
          <t>L</t>
        </is>
      </c>
      <c r="O36" s="2" t="n">
        <v>8</v>
      </c>
      <c r="P36" s="2" t="inlineStr"/>
      <c r="Q36" s="2" t="inlineStr">
        <is>
          <t>TC-COM-REQ05-01..08</t>
        </is>
      </c>
      <c r="R36" s="2" t="inlineStr">
        <is>
          <t>TRA Tax Club Programme Coordinator / Community Moderator</t>
        </is>
      </c>
      <c r="S36" s="2" t="inlineStr">
        <is>
          <t>Planned</t>
        </is>
      </c>
    </row>
    <row r="37">
      <c r="A37" s="2" t="inlineStr">
        <is>
          <t>COM-REQ06</t>
        </is>
      </c>
      <c r="B37" s="2" t="n">
        <v>5</v>
      </c>
      <c r="C37" s="2" t="inlineStr">
        <is>
          <t>Questions, Expert Engagement &amp; Community</t>
        </is>
      </c>
      <c r="D37" s="2" t="inlineStr">
        <is>
          <t>Create Community Posts, Comments and Replies</t>
        </is>
      </c>
      <c r="E37" s="2" t="inlineStr">
        <is>
          <t>High</t>
        </is>
      </c>
      <c r="F37" s="2" t="inlineStr">
        <is>
          <t>The system shall allow eligible Tax Club members to create posts, comments and replies within discussion spaces for which they have participation rights.</t>
        </is>
      </c>
      <c r="G37" s="2" t="n">
        <v>8</v>
      </c>
      <c r="H37" s="2" t="inlineStr">
        <is>
          <t>Mobile / Web</t>
        </is>
      </c>
      <c r="I37" s="2" t="inlineStr">
        <is>
          <t>Partial</t>
        </is>
      </c>
      <c r="J37" s="2" t="inlineStr">
        <is>
          <t>Global forum posts + replies; edit/soft-delete own. Missing: discussion spaces, content rules validation, mentions/notifications, participation restrictions.</t>
        </is>
      </c>
      <c r="K37" s="2" t="inlineStr">
        <is>
          <t>Workflow, Audience, Notifications, Audit, Safeguarding</t>
        </is>
      </c>
      <c r="L37" s="2" t="inlineStr">
        <is>
          <t>R4</t>
        </is>
      </c>
      <c r="M37" s="2" t="inlineStr">
        <is>
          <t>S14–S17</t>
        </is>
      </c>
      <c r="N37" s="2" t="inlineStr">
        <is>
          <t>L</t>
        </is>
      </c>
      <c r="O37" s="2" t="n">
        <v>6</v>
      </c>
      <c r="P37" s="2" t="inlineStr"/>
      <c r="Q37" s="2" t="inlineStr">
        <is>
          <t>TC-COM-REQ06-01..08</t>
        </is>
      </c>
      <c r="R37" s="2" t="inlineStr">
        <is>
          <t>TRA Community Moderator / Tax Club Programme Coordinator</t>
        </is>
      </c>
      <c r="S37" s="2" t="inlineStr">
        <is>
          <t>Planned</t>
        </is>
      </c>
    </row>
    <row r="38">
      <c r="A38" s="2" t="inlineStr">
        <is>
          <t>COM-REQ07</t>
        </is>
      </c>
      <c r="B38" s="2" t="n">
        <v>5</v>
      </c>
      <c r="C38" s="2" t="inlineStr">
        <is>
          <t>Questions, Expert Engagement &amp; Community</t>
        </is>
      </c>
      <c r="D38" s="2" t="inlineStr">
        <is>
          <t>Report Inappropriate Content or User Behaviour</t>
        </is>
      </c>
      <c r="E38" s="2" t="inlineStr">
        <is>
          <t>High</t>
        </is>
      </c>
      <c r="F38" s="2" t="inlineStr">
        <is>
          <t>The system shall allow a user to report inappropriate community content or user behaviour for review by an authorized moderator.</t>
        </is>
      </c>
      <c r="G38" s="2" t="n">
        <v>8</v>
      </c>
      <c r="H38" s="2" t="inlineStr">
        <is>
          <t>Admin</t>
        </is>
      </c>
      <c r="I38" s="2" t="inlineStr">
        <is>
          <t>Not started</t>
        </is>
      </c>
      <c r="J38" s="2" t="inlineStr">
        <is>
          <t>No implementation in prototype. Built once with SAF-REQ01 (case engine).</t>
        </is>
      </c>
      <c r="K38" s="2" t="inlineStr">
        <is>
          <t>Workflow, Audit, Cases/Numbering, Safeguarding</t>
        </is>
      </c>
      <c r="L38" s="2" t="inlineStr">
        <is>
          <t>R4</t>
        </is>
      </c>
      <c r="M38" s="2" t="inlineStr">
        <is>
          <t>S14–S17</t>
        </is>
      </c>
      <c r="N38" s="2" t="inlineStr">
        <is>
          <t>S</t>
        </is>
      </c>
      <c r="O38" s="2" t="n">
        <v>2</v>
      </c>
      <c r="P38" s="2" t="inlineStr"/>
      <c r="Q38" s="2" t="inlineStr">
        <is>
          <t>TC-COM-REQ07-01..08</t>
        </is>
      </c>
      <c r="R38" s="2" t="inlineStr">
        <is>
          <t>TRA Community Moderator / Safeguarding Responsible Officer</t>
        </is>
      </c>
      <c r="S38" s="2" t="inlineStr">
        <is>
          <t>Planned</t>
        </is>
      </c>
    </row>
    <row r="39">
      <c r="A39" s="2" t="inlineStr">
        <is>
          <t>COM-REQ08</t>
        </is>
      </c>
      <c r="B39" s="2" t="n">
        <v>5</v>
      </c>
      <c r="C39" s="2" t="inlineStr">
        <is>
          <t>Questions, Expert Engagement &amp; Community</t>
        </is>
      </c>
      <c r="D39" s="2" t="inlineStr">
        <is>
          <t>Moderate Community Content and User Participation</t>
        </is>
      </c>
      <c r="E39" s="2" t="inlineStr">
        <is>
          <t>High</t>
        </is>
      </c>
      <c r="F39" s="2" t="inlineStr">
        <is>
          <t>The system shall allow an authorized moderator to review reported or flagged community content and apply approved moderation actions to content or user participation.</t>
        </is>
      </c>
      <c r="G39" s="2" t="n">
        <v>8</v>
      </c>
      <c r="H39" s="2" t="inlineStr">
        <is>
          <t>Admin</t>
        </is>
      </c>
      <c r="I39" s="2" t="inlineStr">
        <is>
          <t>Partial</t>
        </is>
      </c>
      <c r="J39" s="2" t="inlineStr">
        <is>
          <t>Admin can soft-delete posts. Missing: moderation queue, actions (warn/hide/restrict/escalate), reasons, restore, history. Built once with SAF-REQ03.</t>
        </is>
      </c>
      <c r="K39" s="2" t="inlineStr">
        <is>
          <t>Workflow, Notifications, Audit, Cases/Numbering, Safeguarding</t>
        </is>
      </c>
      <c r="L39" s="2" t="inlineStr">
        <is>
          <t>R4</t>
        </is>
      </c>
      <c r="M39" s="2" t="inlineStr">
        <is>
          <t>S14–S17</t>
        </is>
      </c>
      <c r="N39" s="2" t="inlineStr">
        <is>
          <t>S</t>
        </is>
      </c>
      <c r="O39" s="2" t="n">
        <v>2</v>
      </c>
      <c r="P39" s="2" t="inlineStr"/>
      <c r="Q39" s="2" t="inlineStr">
        <is>
          <t>TC-COM-REQ08-01..08</t>
        </is>
      </c>
      <c r="R39" s="2" t="inlineStr">
        <is>
          <t>TRA Community Moderation Lead / ICT Security / Safeguarding Responsible Officer</t>
        </is>
      </c>
      <c r="S39" s="2" t="inlineStr">
        <is>
          <t>Planned</t>
        </is>
      </c>
    </row>
    <row r="40">
      <c r="A40" s="2" t="inlineStr">
        <is>
          <t>COM-REQ09</t>
        </is>
      </c>
      <c r="B40" s="2" t="n">
        <v>5</v>
      </c>
      <c r="C40" s="2" t="inlineStr">
        <is>
          <t>Questions, Expert Engagement &amp; Community</t>
        </is>
      </c>
      <c r="D40" s="2" t="inlineStr">
        <is>
          <t>Inter-Institution Collaboration Groups</t>
        </is>
      </c>
      <c r="E40" s="2" t="inlineStr">
        <is>
          <t>Medium</t>
        </is>
      </c>
      <c r="F40" s="2" t="inlineStr">
        <is>
          <t>The system shall allow authorized users to create controlled collaboration groups that enable approved Tax Club members from different institutions to participate in joint learning, projects, campaigns or competitions.</t>
        </is>
      </c>
      <c r="G40" s="2" t="n">
        <v>8</v>
      </c>
      <c r="H40" s="2" t="inlineStr">
        <is>
          <t>Mobile / Web / Admin</t>
        </is>
      </c>
      <c r="I40" s="2" t="inlineStr">
        <is>
          <t>Not started</t>
        </is>
      </c>
      <c r="J40" s="2" t="inlineStr">
        <is>
          <t>No implementation in prototype.</t>
        </is>
      </c>
      <c r="K40" s="2" t="inlineStr">
        <is>
          <t>Workflow, Audience, Cases/Numbering, Safeguarding</t>
        </is>
      </c>
      <c r="L40" s="2" t="inlineStr">
        <is>
          <t>R4</t>
        </is>
      </c>
      <c r="M40" s="2" t="inlineStr">
        <is>
          <t>S14–S17</t>
        </is>
      </c>
      <c r="N40" s="2" t="inlineStr">
        <is>
          <t>M</t>
        </is>
      </c>
      <c r="O40" s="2" t="n">
        <v>5</v>
      </c>
      <c r="P40" s="2" t="inlineStr"/>
      <c r="Q40" s="2" t="inlineStr">
        <is>
          <t>TC-COM-REQ09-01..08</t>
        </is>
      </c>
      <c r="R40" s="2" t="inlineStr">
        <is>
          <t>TRA Tax Club Programme Coordinator / Community Moderator</t>
        </is>
      </c>
      <c r="S40" s="2" t="inlineStr">
        <is>
          <t>Planned</t>
        </is>
      </c>
    </row>
    <row r="41">
      <c r="A41" s="2" t="inlineStr">
        <is>
          <t>ALM-REQ01</t>
        </is>
      </c>
      <c r="B41" s="2" t="n">
        <v>6</v>
      </c>
      <c r="C41" s="2" t="inlineStr">
        <is>
          <t>Alumni &amp; Mentorship</t>
        </is>
      </c>
      <c r="D41" s="2" t="inlineStr">
        <is>
          <t>Alumni Profile and Membership Management</t>
        </is>
      </c>
      <c r="E41" s="2" t="inlineStr">
        <is>
          <t>High</t>
        </is>
      </c>
      <c r="F41" s="2" t="inlineStr">
        <is>
          <t>The system shall allow an approved Tax Club alumnus to maintain an alumni profile and access services permitted for the Alumni membership category after completion of the student-to-alumni transition process.</t>
        </is>
      </c>
      <c r="G41" s="2" t="n">
        <v>8</v>
      </c>
      <c r="H41" s="2" t="inlineStr">
        <is>
          <t>Mobile / Web / Admin</t>
        </is>
      </c>
      <c r="I41" s="2" t="inlineStr">
        <is>
          <t>Not started</t>
        </is>
      </c>
      <c r="J41" s="2" t="inlineStr">
        <is>
          <t>No implementation in prototype.</t>
        </is>
      </c>
      <c r="K41" s="2" t="inlineStr">
        <is>
          <t>Workflow</t>
        </is>
      </c>
      <c r="L41" s="2" t="inlineStr">
        <is>
          <t>R5</t>
        </is>
      </c>
      <c r="M41" s="2" t="inlineStr">
        <is>
          <t>S18–S19</t>
        </is>
      </c>
      <c r="N41" s="2" t="inlineStr">
        <is>
          <t>M</t>
        </is>
      </c>
      <c r="O41" s="2" t="n">
        <v>5</v>
      </c>
      <c r="P41" s="2" t="inlineStr"/>
      <c r="Q41" s="2" t="inlineStr">
        <is>
          <t>TC-ALM-REQ01-01..08</t>
        </is>
      </c>
      <c r="R41" s="2" t="inlineStr">
        <is>
          <t>TRA Tax Club Programme Coordinator / Alumni Programme Responsible Officer</t>
        </is>
      </c>
      <c r="S41" s="2" t="inlineStr">
        <is>
          <t>Planned</t>
        </is>
      </c>
    </row>
    <row r="42">
      <c r="A42" s="2" t="inlineStr">
        <is>
          <t>ALM-REQ02</t>
        </is>
      </c>
      <c r="B42" s="2" t="n">
        <v>6</v>
      </c>
      <c r="C42" s="2" t="inlineStr">
        <is>
          <t>Alumni &amp; Mentorship</t>
        </is>
      </c>
      <c r="D42" s="2" t="inlineStr">
        <is>
          <t>Alumni Directory and Networking</t>
        </is>
      </c>
      <c r="E42" s="2" t="inlineStr">
        <is>
          <t>Medium</t>
        </is>
      </c>
      <c r="F42" s="2" t="inlineStr">
        <is>
          <t>The system shall provide an approved alumni directory and networking capability that allows eligible users to discover and connect with Tax Club alumni according to configured privacy and safeguarding rules.</t>
        </is>
      </c>
      <c r="G42" s="2" t="n">
        <v>8</v>
      </c>
      <c r="H42" s="2" t="inlineStr">
        <is>
          <t>Admin</t>
        </is>
      </c>
      <c r="I42" s="2" t="inlineStr">
        <is>
          <t>Not started</t>
        </is>
      </c>
      <c r="J42" s="2" t="inlineStr">
        <is>
          <t>No implementation in prototype.</t>
        </is>
      </c>
      <c r="K42" s="2" t="inlineStr">
        <is>
          <t>Workflow, Audience, Cases/Numbering, Safeguarding, Scoped RBAC</t>
        </is>
      </c>
      <c r="L42" s="2" t="inlineStr">
        <is>
          <t>R5</t>
        </is>
      </c>
      <c r="M42" s="2" t="inlineStr">
        <is>
          <t>S18–S19</t>
        </is>
      </c>
      <c r="N42" s="2" t="inlineStr">
        <is>
          <t>L</t>
        </is>
      </c>
      <c r="O42" s="2" t="n">
        <v>8</v>
      </c>
      <c r="P42" s="2" t="inlineStr"/>
      <c r="Q42" s="2" t="inlineStr">
        <is>
          <t>TC-ALM-REQ02-01..08</t>
        </is>
      </c>
      <c r="R42" s="2" t="inlineStr">
        <is>
          <t>TRA Alumni Programme Responsible Officer / Data Protection or Safeguarding Representative</t>
        </is>
      </c>
      <c r="S42" s="2" t="inlineStr">
        <is>
          <t>Planned</t>
        </is>
      </c>
    </row>
    <row r="43">
      <c r="A43" s="2" t="inlineStr">
        <is>
          <t>ALM-REQ03</t>
        </is>
      </c>
      <c r="B43" s="2" t="n">
        <v>6</v>
      </c>
      <c r="C43" s="2" t="inlineStr">
        <is>
          <t>Alumni &amp; Mentorship</t>
        </is>
      </c>
      <c r="D43" s="2" t="inlineStr">
        <is>
          <t>Alumni Experience Sharing and Sessions</t>
        </is>
      </c>
      <c r="E43" s="2" t="inlineStr">
        <is>
          <t>Medium</t>
        </is>
      </c>
      <c r="F43" s="2" t="inlineStr">
        <is>
          <t>The system shall allow authorized users to organize and publish approved alumni experience-sharing content, webinars, career talks and Tax Club sessions for eligible members.</t>
        </is>
      </c>
      <c r="G43" s="2" t="n">
        <v>8</v>
      </c>
      <c r="H43" s="2" t="inlineStr">
        <is>
          <t>Mobile / Web / Admin</t>
        </is>
      </c>
      <c r="I43" s="2" t="inlineStr">
        <is>
          <t>Not started</t>
        </is>
      </c>
      <c r="J43" s="2" t="inlineStr">
        <is>
          <t>No implementation in prototype.</t>
        </is>
      </c>
      <c r="K43" s="2" t="inlineStr">
        <is>
          <t>Workflow, Audience, Notifications, Safeguarding</t>
        </is>
      </c>
      <c r="L43" s="2" t="inlineStr">
        <is>
          <t>R5</t>
        </is>
      </c>
      <c r="M43" s="2" t="inlineStr">
        <is>
          <t>S18–S19</t>
        </is>
      </c>
      <c r="N43" s="2" t="inlineStr">
        <is>
          <t>M</t>
        </is>
      </c>
      <c r="O43" s="2" t="n">
        <v>5</v>
      </c>
      <c r="P43" s="2" t="inlineStr"/>
      <c r="Q43" s="2" t="inlineStr">
        <is>
          <t>TC-ALM-REQ03-01..08</t>
        </is>
      </c>
      <c r="R43" s="2" t="inlineStr">
        <is>
          <t>TRA Tax Club Alumni Programme Coordinator / Taxpayer Education Officer</t>
        </is>
      </c>
      <c r="S43" s="2" t="inlineStr">
        <is>
          <t>Planned</t>
        </is>
      </c>
    </row>
    <row r="44">
      <c r="A44" s="2" t="inlineStr">
        <is>
          <t>MNT-REQ01</t>
        </is>
      </c>
      <c r="B44" s="2" t="n">
        <v>6</v>
      </c>
      <c r="C44" s="2" t="inlineStr">
        <is>
          <t>Alumni &amp; Mentorship</t>
        </is>
      </c>
      <c r="D44" s="2" t="inlineStr">
        <is>
          <t>Mentor Registration and Approval</t>
        </is>
      </c>
      <c r="E44" s="2" t="inlineStr">
        <is>
          <t>High</t>
        </is>
      </c>
      <c r="F44" s="2" t="inlineStr">
        <is>
          <t>The system shall allow an eligible alumnus or other approved person to apply to participate as a Tax Club mentor and shall allow an authorized TRA user to review and approve or reject the mentor application.</t>
        </is>
      </c>
      <c r="G44" s="2" t="n">
        <v>9</v>
      </c>
      <c r="H44" s="2" t="inlineStr">
        <is>
          <t>Admin</t>
        </is>
      </c>
      <c r="I44" s="2" t="inlineStr">
        <is>
          <t>Not started</t>
        </is>
      </c>
      <c r="J44" s="2" t="inlineStr">
        <is>
          <t>No implementation in prototype.</t>
        </is>
      </c>
      <c r="K44" s="2" t="inlineStr">
        <is>
          <t>Workflow, Audience, Notifications, Audit, Cases/Numbering, Safeguarding</t>
        </is>
      </c>
      <c r="L44" s="2" t="inlineStr">
        <is>
          <t>R5</t>
        </is>
      </c>
      <c r="M44" s="2" t="inlineStr">
        <is>
          <t>S18–S19</t>
        </is>
      </c>
      <c r="N44" s="2" t="inlineStr">
        <is>
          <t>M</t>
        </is>
      </c>
      <c r="O44" s="2" t="n">
        <v>5</v>
      </c>
      <c r="P44" s="2" t="inlineStr"/>
      <c r="Q44" s="2" t="inlineStr">
        <is>
          <t>TC-MNT-REQ01-01..09</t>
        </is>
      </c>
      <c r="R44" s="2" t="inlineStr">
        <is>
          <t>TRA Tax Club Programme Coordinator / Safeguarding Responsible Officer</t>
        </is>
      </c>
      <c r="S44" s="2" t="inlineStr">
        <is>
          <t>Planned</t>
        </is>
      </c>
    </row>
    <row r="45">
      <c r="A45" s="2" t="inlineStr">
        <is>
          <t>MNT-REQ02</t>
        </is>
      </c>
      <c r="B45" s="2" t="n">
        <v>6</v>
      </c>
      <c r="C45" s="2" t="inlineStr">
        <is>
          <t>Alumni &amp; Mentorship</t>
        </is>
      </c>
      <c r="D45" s="2" t="inlineStr">
        <is>
          <t>Mentorship Request by Member</t>
        </is>
      </c>
      <c r="E45" s="2" t="inlineStr">
        <is>
          <t>High</t>
        </is>
      </c>
      <c r="F45" s="2" t="inlineStr">
        <is>
          <t>The system shall allow an eligible Tax Club member to submit a mentorship request indicating approved mentorship interests and support needs.</t>
        </is>
      </c>
      <c r="G45" s="2" t="n">
        <v>8</v>
      </c>
      <c r="H45" s="2" t="inlineStr">
        <is>
          <t>Mobile / Web / Admin</t>
        </is>
      </c>
      <c r="I45" s="2" t="inlineStr">
        <is>
          <t>Not started</t>
        </is>
      </c>
      <c r="J45" s="2" t="inlineStr">
        <is>
          <t>No implementation in prototype.</t>
        </is>
      </c>
      <c r="K45" s="2" t="inlineStr">
        <is>
          <t>Workflow, Audience, Notifications, Cases/Numbering, Safeguarding, Scoped RBAC</t>
        </is>
      </c>
      <c r="L45" s="2" t="inlineStr">
        <is>
          <t>R5</t>
        </is>
      </c>
      <c r="M45" s="2" t="inlineStr">
        <is>
          <t>S18–S19</t>
        </is>
      </c>
      <c r="N45" s="2" t="inlineStr">
        <is>
          <t>M</t>
        </is>
      </c>
      <c r="O45" s="2" t="n">
        <v>5</v>
      </c>
      <c r="P45" s="2" t="inlineStr"/>
      <c r="Q45" s="2" t="inlineStr">
        <is>
          <t>TC-MNT-REQ02-01..08</t>
        </is>
      </c>
      <c r="R45" s="2" t="inlineStr">
        <is>
          <t>TRA Tax Club Programme Coordinator / Mentorship Programme Officer</t>
        </is>
      </c>
      <c r="S45" s="2" t="inlineStr">
        <is>
          <t>Planned</t>
        </is>
      </c>
    </row>
    <row r="46">
      <c r="A46" s="2" t="inlineStr">
        <is>
          <t>MNT-REQ03</t>
        </is>
      </c>
      <c r="B46" s="2" t="n">
        <v>6</v>
      </c>
      <c r="C46" s="2" t="inlineStr">
        <is>
          <t>Alumni &amp; Mentorship</t>
        </is>
      </c>
      <c r="D46" s="2" t="inlineStr">
        <is>
          <t>Mentor-Mentee Matching and Approval</t>
        </is>
      </c>
      <c r="E46" s="2" t="inlineStr">
        <is>
          <t>High</t>
        </is>
      </c>
      <c r="F46" s="2" t="inlineStr">
        <is>
          <t>The system shall allow an authorized coordinator to match an approved mentor with an eligible mentee and establish a mentorship relationship in accordance with approved matching and safeguarding rules.</t>
        </is>
      </c>
      <c r="G46" s="2" t="n">
        <v>9</v>
      </c>
      <c r="H46" s="2" t="inlineStr">
        <is>
          <t>Admin</t>
        </is>
      </c>
      <c r="I46" s="2" t="inlineStr">
        <is>
          <t>Not started</t>
        </is>
      </c>
      <c r="J46" s="2" t="inlineStr">
        <is>
          <t>No implementation in prototype.</t>
        </is>
      </c>
      <c r="K46" s="2" t="inlineStr">
        <is>
          <t>Workflow, Audience, Notifications, Audit, Cases/Numbering, Safeguarding</t>
        </is>
      </c>
      <c r="L46" s="2" t="inlineStr">
        <is>
          <t>R5</t>
        </is>
      </c>
      <c r="M46" s="2" t="inlineStr">
        <is>
          <t>S18–S19</t>
        </is>
      </c>
      <c r="N46" s="2" t="inlineStr">
        <is>
          <t>L</t>
        </is>
      </c>
      <c r="O46" s="2" t="n">
        <v>8</v>
      </c>
      <c r="P46" s="2" t="inlineStr">
        <is>
          <t>D-11</t>
        </is>
      </c>
      <c r="Q46" s="2" t="inlineStr">
        <is>
          <t>TC-MNT-REQ03-01..09</t>
        </is>
      </c>
      <c r="R46" s="2" t="inlineStr">
        <is>
          <t>TRA Mentorship Programme Coordinator / Safeguarding Responsible Officer</t>
        </is>
      </c>
      <c r="S46" s="2" t="inlineStr">
        <is>
          <t>Planned</t>
        </is>
      </c>
    </row>
    <row r="47">
      <c r="A47" s="2" t="inlineStr">
        <is>
          <t>MNT-REQ04</t>
        </is>
      </c>
      <c r="B47" s="2" t="n">
        <v>6</v>
      </c>
      <c r="C47" s="2" t="inlineStr">
        <is>
          <t>Alumni &amp; Mentorship</t>
        </is>
      </c>
      <c r="D47" s="2" t="inlineStr">
        <is>
          <t>Mentorship Engagement and Progress Tracking</t>
        </is>
      </c>
      <c r="E47" s="2" t="inlineStr">
        <is>
          <t>Medium</t>
        </is>
      </c>
      <c r="F47" s="2" t="inlineStr">
        <is>
          <t>The system shall allow authorized participants and coordinators to record and monitor approved mentorship activities, milestones and status without exposing unnecessary private communication content.</t>
        </is>
      </c>
      <c r="G47" s="2" t="n">
        <v>8</v>
      </c>
      <c r="H47" s="2" t="inlineStr">
        <is>
          <t>Admin</t>
        </is>
      </c>
      <c r="I47" s="2" t="inlineStr">
        <is>
          <t>Not started</t>
        </is>
      </c>
      <c r="J47" s="2" t="inlineStr">
        <is>
          <t>No implementation in prototype.</t>
        </is>
      </c>
      <c r="K47" s="2" t="inlineStr">
        <is>
          <t>Workflow, Notifications, Safeguarding</t>
        </is>
      </c>
      <c r="L47" s="2" t="inlineStr">
        <is>
          <t>R5</t>
        </is>
      </c>
      <c r="M47" s="2" t="inlineStr">
        <is>
          <t>S18–S19</t>
        </is>
      </c>
      <c r="N47" s="2" t="inlineStr">
        <is>
          <t>M</t>
        </is>
      </c>
      <c r="O47" s="2" t="n">
        <v>5</v>
      </c>
      <c r="P47" s="2" t="inlineStr"/>
      <c r="Q47" s="2" t="inlineStr">
        <is>
          <t>TC-MNT-REQ04-01..08</t>
        </is>
      </c>
      <c r="R47" s="2" t="inlineStr">
        <is>
          <t>TRA Mentorship Programme Coordinator / Monitoring and Evaluation Officer</t>
        </is>
      </c>
      <c r="S47" s="2" t="inlineStr">
        <is>
          <t>Planned</t>
        </is>
      </c>
    </row>
    <row r="48">
      <c r="A48" s="2" t="inlineStr">
        <is>
          <t>MNT-REQ05</t>
        </is>
      </c>
      <c r="B48" s="2" t="n">
        <v>6</v>
      </c>
      <c r="C48" s="2" t="inlineStr">
        <is>
          <t>Alumni &amp; Mentorship</t>
        </is>
      </c>
      <c r="D48" s="2" t="inlineStr">
        <is>
          <t>Mentorship Completion and Closure</t>
        </is>
      </c>
      <c r="E48" s="2" t="inlineStr">
        <is>
          <t>Medium</t>
        </is>
      </c>
      <c r="F48" s="2" t="inlineStr">
        <is>
          <t>The system shall allow an authorized participant or coordinator to complete or close a mentorship relationship and record approved outcome information.</t>
        </is>
      </c>
      <c r="G48" s="2" t="n">
        <v>8</v>
      </c>
      <c r="H48" s="2" t="inlineStr">
        <is>
          <t>Admin</t>
        </is>
      </c>
      <c r="I48" s="2" t="inlineStr">
        <is>
          <t>Not started</t>
        </is>
      </c>
      <c r="J48" s="2" t="inlineStr">
        <is>
          <t>No implementation in prototype.</t>
        </is>
      </c>
      <c r="K48" s="2" t="inlineStr">
        <is>
          <t>Workflow, Notifications, Audit, Safeguarding</t>
        </is>
      </c>
      <c r="L48" s="2" t="inlineStr">
        <is>
          <t>R5</t>
        </is>
      </c>
      <c r="M48" s="2" t="inlineStr">
        <is>
          <t>S18–S19</t>
        </is>
      </c>
      <c r="N48" s="2" t="inlineStr">
        <is>
          <t>S</t>
        </is>
      </c>
      <c r="O48" s="2" t="n">
        <v>3</v>
      </c>
      <c r="P48" s="2" t="inlineStr"/>
      <c r="Q48" s="2" t="inlineStr">
        <is>
          <t>TC-MNT-REQ05-01..08</t>
        </is>
      </c>
      <c r="R48" s="2" t="inlineStr">
        <is>
          <t>TRA Mentorship Programme Coordinator / Monitoring and Evaluation Officer</t>
        </is>
      </c>
      <c r="S48" s="2" t="inlineStr">
        <is>
          <t>Planned</t>
        </is>
      </c>
    </row>
    <row r="49">
      <c r="A49" s="2" t="inlineStr">
        <is>
          <t>MNT-REQ06</t>
        </is>
      </c>
      <c r="B49" s="2" t="n">
        <v>6</v>
      </c>
      <c r="C49" s="2" t="inlineStr">
        <is>
          <t>Alumni &amp; Mentorship</t>
        </is>
      </c>
      <c r="D49" s="2" t="inlineStr">
        <is>
          <t>Mentorship Safeguarding and Monitoring</t>
        </is>
      </c>
      <c r="E49" s="2" t="inlineStr">
        <is>
          <t>High</t>
        </is>
      </c>
      <c r="F49" s="2" t="inlineStr">
        <is>
          <t>The system shall enforce approved safeguarding, supervision, reporting and communication controls for mentorship activities, particularly where a mentee is a minor.</t>
        </is>
      </c>
      <c r="G49" s="2" t="n">
        <v>8</v>
      </c>
      <c r="H49" s="2" t="inlineStr">
        <is>
          <t>Admin</t>
        </is>
      </c>
      <c r="I49" s="2" t="inlineStr">
        <is>
          <t>Not started</t>
        </is>
      </c>
      <c r="J49" s="2" t="inlineStr">
        <is>
          <t>No implementation in prototype.</t>
        </is>
      </c>
      <c r="K49" s="2" t="inlineStr">
        <is>
          <t>Workflow, Audit, Cases/Numbering, Safeguarding</t>
        </is>
      </c>
      <c r="L49" s="2" t="inlineStr">
        <is>
          <t>R5</t>
        </is>
      </c>
      <c r="M49" s="2" t="inlineStr">
        <is>
          <t>S18–S19</t>
        </is>
      </c>
      <c r="N49" s="2" t="inlineStr">
        <is>
          <t>L</t>
        </is>
      </c>
      <c r="O49" s="2" t="n">
        <v>8</v>
      </c>
      <c r="P49" s="2" t="inlineStr">
        <is>
          <t>D-11</t>
        </is>
      </c>
      <c r="Q49" s="2" t="inlineStr">
        <is>
          <t>TC-MNT-REQ06-01..08</t>
        </is>
      </c>
      <c r="R49" s="2" t="inlineStr">
        <is>
          <t>TRA Safeguarding Responsible Officer / ICT Security / Tax Club Programme Coordinator</t>
        </is>
      </c>
      <c r="S49" s="2" t="inlineStr">
        <is>
          <t>Planned</t>
        </is>
      </c>
    </row>
    <row r="50">
      <c r="A50" s="2" t="inlineStr">
        <is>
          <t>OPP-REQ01</t>
        </is>
      </c>
      <c r="B50" s="2" t="n">
        <v>7</v>
      </c>
      <c r="C50" s="2" t="inlineStr">
        <is>
          <t>Employment &amp; Opportunities</t>
        </is>
      </c>
      <c r="D50" s="2" t="inlineStr">
        <is>
          <t>Create Employment and Development Opportunity</t>
        </is>
      </c>
      <c r="E50" s="2" t="inlineStr">
        <is>
          <t>High</t>
        </is>
      </c>
      <c r="F50" s="2" t="inlineStr">
        <is>
          <t>The system shall allow an authorized user to create an employment, internship, scholarship, volunteering, training, entrepreneurship or other approved development opportunity through the Administration Portal.</t>
        </is>
      </c>
      <c r="G50" s="2" t="n">
        <v>9</v>
      </c>
      <c r="H50" s="2" t="inlineStr">
        <is>
          <t>Admin</t>
        </is>
      </c>
      <c r="I50" s="2" t="inlineStr">
        <is>
          <t>Partial</t>
        </is>
      </c>
      <c r="J50" s="2" t="inlineStr">
        <is>
          <t>Create with title, organization, type (job/internship/volunteer), description, deadline. Missing: more categories, eligibility/audience, opening date, application channel, attachments, Draft status.</t>
        </is>
      </c>
      <c r="K50" s="2" t="inlineStr">
        <is>
          <t>Workflow, Audience, Audit</t>
        </is>
      </c>
      <c r="L50" s="2" t="inlineStr">
        <is>
          <t>R3</t>
        </is>
      </c>
      <c r="M50" s="2" t="inlineStr">
        <is>
          <t>S10–S13</t>
        </is>
      </c>
      <c r="N50" s="2" t="inlineStr">
        <is>
          <t>M</t>
        </is>
      </c>
      <c r="O50" s="2" t="n">
        <v>4</v>
      </c>
      <c r="P50" s="2" t="inlineStr"/>
      <c r="Q50" s="2" t="inlineStr">
        <is>
          <t>TC-OPP-REQ01-01..09</t>
        </is>
      </c>
      <c r="R50" s="2" t="inlineStr">
        <is>
          <t>TRA Tax Club Programme Coordinator / Responsible Taxpayer Education Officer</t>
        </is>
      </c>
      <c r="S50" s="2" t="inlineStr">
        <is>
          <t>Planned</t>
        </is>
      </c>
    </row>
    <row r="51">
      <c r="A51" s="2" t="inlineStr">
        <is>
          <t>OPP-REQ02</t>
        </is>
      </c>
      <c r="B51" s="2" t="n">
        <v>7</v>
      </c>
      <c r="C51" s="2" t="inlineStr">
        <is>
          <t>Employment &amp; Opportunities</t>
        </is>
      </c>
      <c r="D51" s="2" t="inlineStr">
        <is>
          <t>Review and Approve Opportunity</t>
        </is>
      </c>
      <c r="E51" s="2" t="inlineStr">
        <is>
          <t>High</t>
        </is>
      </c>
      <c r="F51" s="2" t="inlineStr">
        <is>
          <t>The system shall allow an authorized reviewer or approver to review, approve, reject or return a submitted opportunity for correction before it is made available to Tax Club members.</t>
        </is>
      </c>
      <c r="G51" s="2" t="n">
        <v>8</v>
      </c>
      <c r="H51" s="2" t="inlineStr">
        <is>
          <t>Mobile / Web / Admin</t>
        </is>
      </c>
      <c r="I51" s="2" t="inlineStr">
        <is>
          <t>Not started</t>
        </is>
      </c>
      <c r="J51" s="2" t="inlineStr">
        <is>
          <t>No implementation in prototype.</t>
        </is>
      </c>
      <c r="K51" s="2" t="inlineStr">
        <is>
          <t>Workflow, Audience, Notifications, Audit</t>
        </is>
      </c>
      <c r="L51" s="2" t="inlineStr">
        <is>
          <t>R3</t>
        </is>
      </c>
      <c r="M51" s="2" t="inlineStr">
        <is>
          <t>S10–S13</t>
        </is>
      </c>
      <c r="N51" s="2" t="inlineStr">
        <is>
          <t>S</t>
        </is>
      </c>
      <c r="O51" s="2" t="n">
        <v>3</v>
      </c>
      <c r="P51" s="2" t="inlineStr"/>
      <c r="Q51" s="2" t="inlineStr">
        <is>
          <t>TC-OPP-REQ02-01..08</t>
        </is>
      </c>
      <c r="R51" s="2" t="inlineStr">
        <is>
          <t>TRA Tax Club Programme Coordinator / Authorized Opportunity Reviewer</t>
        </is>
      </c>
      <c r="S51" s="2" t="inlineStr">
        <is>
          <t>Planned</t>
        </is>
      </c>
    </row>
    <row r="52">
      <c r="A52" s="2" t="inlineStr">
        <is>
          <t>OPP-REQ03</t>
        </is>
      </c>
      <c r="B52" s="2" t="n">
        <v>7</v>
      </c>
      <c r="C52" s="2" t="inlineStr">
        <is>
          <t>Employment &amp; Opportunities</t>
        </is>
      </c>
      <c r="D52" s="2" t="inlineStr">
        <is>
          <t>Publish, Schedule, Close and Archive Opportunity</t>
        </is>
      </c>
      <c r="E52" s="2" t="inlineStr">
        <is>
          <t>High</t>
        </is>
      </c>
      <c r="F52" s="2" t="inlineStr">
        <is>
          <t>The system shall allow an authorized user to publish an approved opportunity, schedule its publication, automatically close it at the approved deadline, and archive it after expiry or withdrawal.</t>
        </is>
      </c>
      <c r="G52" s="2" t="n">
        <v>8</v>
      </c>
      <c r="H52" s="2" t="inlineStr">
        <is>
          <t>Admin</t>
        </is>
      </c>
      <c r="I52" s="2" t="inlineStr">
        <is>
          <t>Partial</t>
        </is>
      </c>
      <c r="J52" s="2" t="inlineStr">
        <is>
          <t>is_active flag and deadline. Missing: approval gate, scheduling, auto-close, withdrawal reason, archive, history.</t>
        </is>
      </c>
      <c r="K52" s="2" t="inlineStr">
        <is>
          <t>Workflow, Audience, Notifications, Audit</t>
        </is>
      </c>
      <c r="L52" s="2" t="inlineStr">
        <is>
          <t>R3</t>
        </is>
      </c>
      <c r="M52" s="2" t="inlineStr">
        <is>
          <t>S10–S13</t>
        </is>
      </c>
      <c r="N52" s="2" t="inlineStr">
        <is>
          <t>M</t>
        </is>
      </c>
      <c r="O52" s="2" t="n">
        <v>4</v>
      </c>
      <c r="P52" s="2" t="inlineStr"/>
      <c r="Q52" s="2" t="inlineStr">
        <is>
          <t>TC-OPP-REQ03-01..08</t>
        </is>
      </c>
      <c r="R52" s="2" t="inlineStr">
        <is>
          <t>TRA Tax Club Programme Coordinator / Content Administrator</t>
        </is>
      </c>
      <c r="S52" s="2" t="inlineStr">
        <is>
          <t>Planned</t>
        </is>
      </c>
    </row>
    <row r="53">
      <c r="A53" s="2" t="inlineStr">
        <is>
          <t>OPP-REQ04</t>
        </is>
      </c>
      <c r="B53" s="2" t="n">
        <v>7</v>
      </c>
      <c r="C53" s="2" t="inlineStr">
        <is>
          <t>Employment &amp; Opportunities</t>
        </is>
      </c>
      <c r="D53" s="2" t="inlineStr">
        <is>
          <t>Browse, Search and View Opportunities</t>
        </is>
      </c>
      <c r="E53" s="2" t="inlineStr">
        <is>
          <t>High</t>
        </is>
      </c>
      <c r="F53" s="2" t="inlineStr">
        <is>
          <t>The system shall allow eligible users to browse, search, filter and view approved active opportunities through the Mobile Application and Web Application.</t>
        </is>
      </c>
      <c r="G53" s="2" t="n">
        <v>9</v>
      </c>
      <c r="H53" s="2" t="inlineStr">
        <is>
          <t>Mobile / Web</t>
        </is>
      </c>
      <c r="I53" s="2" t="inlineStr">
        <is>
          <t>Partial</t>
        </is>
      </c>
      <c r="J53" s="2" t="inlineStr">
        <is>
          <t>Members list/view active opportunities. Missing: filters, eligibility, closing-soon indicator, expired exclusion by date.</t>
        </is>
      </c>
      <c r="K53" s="2" t="inlineStr">
        <is>
          <t>Workflow, Audience</t>
        </is>
      </c>
      <c r="L53" s="2" t="inlineStr">
        <is>
          <t>R3</t>
        </is>
      </c>
      <c r="M53" s="2" t="inlineStr">
        <is>
          <t>S10–S13</t>
        </is>
      </c>
      <c r="N53" s="2" t="inlineStr">
        <is>
          <t>M</t>
        </is>
      </c>
      <c r="O53" s="2" t="n">
        <v>4</v>
      </c>
      <c r="P53" s="2" t="inlineStr"/>
      <c r="Q53" s="2" t="inlineStr">
        <is>
          <t>TC-OPP-REQ04-01..09</t>
        </is>
      </c>
      <c r="R53" s="2" t="inlineStr">
        <is>
          <t>TRA Tax Club Programme Coordinator / Career and Youth Engagement Responsible Officer</t>
        </is>
      </c>
      <c r="S53" s="2" t="inlineStr">
        <is>
          <t>Planned</t>
        </is>
      </c>
    </row>
    <row r="54">
      <c r="A54" s="2" t="inlineStr">
        <is>
          <t>OPP-REQ05</t>
        </is>
      </c>
      <c r="B54" s="2" t="n">
        <v>7</v>
      </c>
      <c r="C54" s="2" t="inlineStr">
        <is>
          <t>Employment &amp; Opportunities</t>
        </is>
      </c>
      <c r="D54" s="2" t="inlineStr">
        <is>
          <t>Opportunity Eligibility and Audience Targeting</t>
        </is>
      </c>
      <c r="E54" s="2" t="inlineStr">
        <is>
          <t>High</t>
        </is>
      </c>
      <c r="F54" s="2" t="inlineStr">
        <is>
          <t>The system shall allow an authorized user to define opportunity eligibility and target-audience rules and shall use those rules to control or prioritize opportunity visibility for relevant Tax Club users.</t>
        </is>
      </c>
      <c r="G54" s="2" t="n">
        <v>8</v>
      </c>
      <c r="H54" s="2" t="inlineStr">
        <is>
          <t>Mobile / Web / Admin</t>
        </is>
      </c>
      <c r="I54" s="2" t="inlineStr">
        <is>
          <t>Not started</t>
        </is>
      </c>
      <c r="J54" s="2" t="inlineStr">
        <is>
          <t>No implementation in prototype.</t>
        </is>
      </c>
      <c r="K54" s="2" t="inlineStr">
        <is>
          <t>Workflow, Audience, Safeguarding, Scoped RBAC</t>
        </is>
      </c>
      <c r="L54" s="2" t="inlineStr">
        <is>
          <t>R3</t>
        </is>
      </c>
      <c r="M54" s="2" t="inlineStr">
        <is>
          <t>S10–S13</t>
        </is>
      </c>
      <c r="N54" s="2" t="inlineStr">
        <is>
          <t>M</t>
        </is>
      </c>
      <c r="O54" s="2" t="n">
        <v>5</v>
      </c>
      <c r="P54" s="2" t="inlineStr"/>
      <c r="Q54" s="2" t="inlineStr">
        <is>
          <t>TC-OPP-REQ05-01..08</t>
        </is>
      </c>
      <c r="R54" s="2" t="inlineStr">
        <is>
          <t>TRA Tax Club Programme Coordinator / Data Protection and Safeguarding Responsible Officer</t>
        </is>
      </c>
      <c r="S54" s="2" t="inlineStr">
        <is>
          <t>Planned</t>
        </is>
      </c>
    </row>
    <row r="55">
      <c r="A55" s="2" t="inlineStr">
        <is>
          <t>OPP-REQ06</t>
        </is>
      </c>
      <c r="B55" s="2" t="n">
        <v>7</v>
      </c>
      <c r="C55" s="2" t="inlineStr">
        <is>
          <t>Employment &amp; Opportunities</t>
        </is>
      </c>
      <c r="D55" s="2" t="inlineStr">
        <is>
          <t>Save Opportunity and Access Application Channel</t>
        </is>
      </c>
      <c r="E55" s="2" t="inlineStr">
        <is>
          <t>Medium</t>
        </is>
      </c>
      <c r="F55" s="2" t="inlineStr">
        <is>
          <t>The system shall allow a member to save or bookmark an active opportunity for later reference and access the approved external or internal application channel specified for that opportunity.</t>
        </is>
      </c>
      <c r="G55" s="2" t="n">
        <v>9</v>
      </c>
      <c r="H55" s="2" t="inlineStr">
        <is>
          <t>Mobile / Web</t>
        </is>
      </c>
      <c r="I55" s="2" t="inlineStr">
        <is>
          <t>Not started</t>
        </is>
      </c>
      <c r="J55" s="2" t="inlineStr">
        <is>
          <t>No implementation in prototype.</t>
        </is>
      </c>
      <c r="K55" s="2" t="inlineStr">
        <is>
          <t>Workflow</t>
        </is>
      </c>
      <c r="L55" s="2" t="inlineStr">
        <is>
          <t>R3</t>
        </is>
      </c>
      <c r="M55" s="2" t="inlineStr">
        <is>
          <t>S10–S13</t>
        </is>
      </c>
      <c r="N55" s="2" t="inlineStr">
        <is>
          <t>M</t>
        </is>
      </c>
      <c r="O55" s="2" t="n">
        <v>5</v>
      </c>
      <c r="P55" s="2" t="inlineStr"/>
      <c r="Q55" s="2" t="inlineStr">
        <is>
          <t>TC-OPP-REQ06-01..09</t>
        </is>
      </c>
      <c r="R55" s="2" t="inlineStr">
        <is>
          <t>TRA Tax Club Programme Coordinator / ICT Security Representative</t>
        </is>
      </c>
      <c r="S55" s="2" t="inlineStr">
        <is>
          <t>Planned</t>
        </is>
      </c>
    </row>
    <row r="56">
      <c r="A56" s="2" t="inlineStr">
        <is>
          <t>OPP-REQ07</t>
        </is>
      </c>
      <c r="B56" s="2" t="n">
        <v>7</v>
      </c>
      <c r="C56" s="2" t="inlineStr">
        <is>
          <t>Employment &amp; Opportunities</t>
        </is>
      </c>
      <c r="D56" s="2" t="inlineStr">
        <is>
          <t>Career Guidance and Employability Resources</t>
        </is>
      </c>
      <c r="E56" s="2" t="inlineStr">
        <is>
          <t>Medium</t>
        </is>
      </c>
      <c r="F56" s="2" t="inlineStr">
        <is>
          <t>The system shall provide members with approved career-guidance and employability resources, including CV preparation, interview preparation, career awareness and other youth-development materials, through the Mobile Application and Web Application.</t>
        </is>
      </c>
      <c r="G56" s="2" t="n">
        <v>8</v>
      </c>
      <c r="H56" s="2" t="inlineStr">
        <is>
          <t>Mobile / Web / Admin</t>
        </is>
      </c>
      <c r="I56" s="2" t="inlineStr">
        <is>
          <t>Not started</t>
        </is>
      </c>
      <c r="J56" s="2" t="inlineStr">
        <is>
          <t>No implementation in prototype.</t>
        </is>
      </c>
      <c r="K56" s="2" t="inlineStr">
        <is>
          <t>Workflow, Audience</t>
        </is>
      </c>
      <c r="L56" s="2" t="inlineStr">
        <is>
          <t>R3</t>
        </is>
      </c>
      <c r="M56" s="2" t="inlineStr">
        <is>
          <t>S10–S13</t>
        </is>
      </c>
      <c r="N56" s="2" t="inlineStr">
        <is>
          <t>S</t>
        </is>
      </c>
      <c r="O56" s="2" t="n">
        <v>3</v>
      </c>
      <c r="P56" s="2" t="inlineStr"/>
      <c r="Q56" s="2" t="inlineStr">
        <is>
          <t>TC-OPP-REQ07-01..08</t>
        </is>
      </c>
      <c r="R56" s="2" t="inlineStr">
        <is>
          <t>TRA Tax Club Programme Coordinator / Career Guidance Content Responsible Officer</t>
        </is>
      </c>
      <c r="S56" s="2" t="inlineStr">
        <is>
          <t>Planned</t>
        </is>
      </c>
    </row>
    <row r="57">
      <c r="A57" s="2" t="inlineStr">
        <is>
          <t>OPP-REQ08</t>
        </is>
      </c>
      <c r="B57" s="2" t="n">
        <v>7</v>
      </c>
      <c r="C57" s="2" t="inlineStr">
        <is>
          <t>Employment &amp; Opportunities</t>
        </is>
      </c>
      <c r="D57" s="2" t="inlineStr">
        <is>
          <t>Opportunity Engagement Monitoring and Reporting</t>
        </is>
      </c>
      <c r="E57" s="2" t="inlineStr">
        <is>
          <t>Medium</t>
        </is>
      </c>
      <c r="F57" s="2" t="inlineStr">
        <is>
          <t>The system shall capture and provide authorized users with aggregated engagement information on published opportunities and career resources for programme monitoring and reporting.</t>
        </is>
      </c>
      <c r="G57" s="2" t="n">
        <v>8</v>
      </c>
      <c r="H57" s="2" t="inlineStr">
        <is>
          <t>Admin</t>
        </is>
      </c>
      <c r="I57" s="2" t="inlineStr">
        <is>
          <t>Not started</t>
        </is>
      </c>
      <c r="J57" s="2" t="inlineStr">
        <is>
          <t>No implementation in prototype.</t>
        </is>
      </c>
      <c r="K57" s="2" t="inlineStr">
        <is>
          <t>Workflow, Audience, Audit, Scoped RBAC</t>
        </is>
      </c>
      <c r="L57" s="2" t="inlineStr">
        <is>
          <t>R3</t>
        </is>
      </c>
      <c r="M57" s="2" t="inlineStr">
        <is>
          <t>S10–S13</t>
        </is>
      </c>
      <c r="N57" s="2" t="inlineStr">
        <is>
          <t>M</t>
        </is>
      </c>
      <c r="O57" s="2" t="n">
        <v>5</v>
      </c>
      <c r="P57" s="2" t="inlineStr"/>
      <c r="Q57" s="2" t="inlineStr">
        <is>
          <t>TC-OPP-REQ08-01..08</t>
        </is>
      </c>
      <c r="R57" s="2" t="inlineStr">
        <is>
          <t>TRA Monitoring and Evaluation Responsible Officer / Tax Club Programme Coordinator</t>
        </is>
      </c>
      <c r="S57" s="2" t="inlineStr">
        <is>
          <t>Planned</t>
        </is>
      </c>
    </row>
    <row r="58">
      <c r="A58" s="2" t="inlineStr">
        <is>
          <t>GAM-REQ01</t>
        </is>
      </c>
      <c r="B58" s="2" t="n">
        <v>8</v>
      </c>
      <c r="C58" s="2" t="inlineStr">
        <is>
          <t>Quiz &amp; Gamification</t>
        </is>
      </c>
      <c r="D58" s="2" t="inlineStr">
        <is>
          <t>Create Quiz</t>
        </is>
      </c>
      <c r="E58" s="2" t="inlineStr">
        <is>
          <t>High</t>
        </is>
      </c>
      <c r="F58" s="2" t="inlineStr">
        <is>
          <t>The system shall allow an authorized user to create a tax education or approved learning quiz through the Administration Portal.</t>
        </is>
      </c>
      <c r="G58" s="2" t="n">
        <v>9</v>
      </c>
      <c r="H58" s="2" t="inlineStr">
        <is>
          <t>Mobile / Web / Admin</t>
        </is>
      </c>
      <c r="I58" s="2" t="inlineStr">
        <is>
          <t>Partial</t>
        </is>
      </c>
      <c r="J58" s="2" t="inlineStr">
        <is>
          <t>Create quiz with title, description, optional content link. Missing: category/module, target membership, instructions, pass mark (hard-coded 50%), practice vs scored, Draft workflow.</t>
        </is>
      </c>
      <c r="K58" s="2" t="inlineStr">
        <is>
          <t>Workflow, Audience, Audit</t>
        </is>
      </c>
      <c r="L58" s="2" t="inlineStr">
        <is>
          <t>R2</t>
        </is>
      </c>
      <c r="M58" s="2" t="inlineStr">
        <is>
          <t>S7–S9</t>
        </is>
      </c>
      <c r="N58" s="2" t="inlineStr">
        <is>
          <t>M</t>
        </is>
      </c>
      <c r="O58" s="2" t="n">
        <v>4</v>
      </c>
      <c r="P58" s="2" t="inlineStr"/>
      <c r="Q58" s="2" t="inlineStr">
        <is>
          <t>TC-GAM-REQ01-01..09</t>
        </is>
      </c>
      <c r="R58" s="2" t="inlineStr">
        <is>
          <t>TRA Taxpayer Education / Tax Club Learning Content Responsible Officer</t>
        </is>
      </c>
      <c r="S58" s="2" t="inlineStr">
        <is>
          <t>Planned</t>
        </is>
      </c>
    </row>
    <row r="59">
      <c r="A59" s="2" t="inlineStr">
        <is>
          <t>GAM-REQ02</t>
        </is>
      </c>
      <c r="B59" s="2" t="n">
        <v>8</v>
      </c>
      <c r="C59" s="2" t="inlineStr">
        <is>
          <t>Quiz &amp; Gamification</t>
        </is>
      </c>
      <c r="D59" s="2" t="inlineStr">
        <is>
          <t>Manage Quiz Questions and Answer Options</t>
        </is>
      </c>
      <c r="E59" s="2" t="inlineStr">
        <is>
          <t>High</t>
        </is>
      </c>
      <c r="F59" s="2" t="inlineStr">
        <is>
          <t>The system shall allow an authorized quiz creator to add, edit, remove and arrange questions and answer options within a quiz.</t>
        </is>
      </c>
      <c r="G59" s="2" t="n">
        <v>9</v>
      </c>
      <c r="H59" s="2" t="inlineStr">
        <is>
          <t>Admin</t>
        </is>
      </c>
      <c r="I59" s="2" t="inlineStr">
        <is>
          <t>Partial</t>
        </is>
      </c>
      <c r="J59" s="2" t="inlineStr">
        <is>
          <t>Questions (multiple choice, true/false), answers, points, reorder. Missing: multiple-selection type, media, explanations, validation of correct answer before submit.</t>
        </is>
      </c>
      <c r="K59" s="2" t="inlineStr">
        <is>
          <t>Workflow, Cases/Numbering</t>
        </is>
      </c>
      <c r="L59" s="2" t="inlineStr">
        <is>
          <t>R2</t>
        </is>
      </c>
      <c r="M59" s="2" t="inlineStr">
        <is>
          <t>S7–S9</t>
        </is>
      </c>
      <c r="N59" s="2" t="inlineStr">
        <is>
          <t>M</t>
        </is>
      </c>
      <c r="O59" s="2" t="n">
        <v>4</v>
      </c>
      <c r="P59" s="2" t="inlineStr"/>
      <c r="Q59" s="2" t="inlineStr">
        <is>
          <t>TC-GAM-REQ02-01..09</t>
        </is>
      </c>
      <c r="R59" s="2" t="inlineStr">
        <is>
          <t>TRA Tax Education Content Officer / Subject Matter Expert</t>
        </is>
      </c>
      <c r="S59" s="2" t="inlineStr">
        <is>
          <t>Planned</t>
        </is>
      </c>
    </row>
    <row r="60">
      <c r="A60" s="2" t="inlineStr">
        <is>
          <t>GAM-REQ03</t>
        </is>
      </c>
      <c r="B60" s="2" t="n">
        <v>8</v>
      </c>
      <c r="C60" s="2" t="inlineStr">
        <is>
          <t>Quiz &amp; Gamification</t>
        </is>
      </c>
      <c r="D60" s="2" t="inlineStr">
        <is>
          <t>Review and Approve Quiz</t>
        </is>
      </c>
      <c r="E60" s="2" t="inlineStr">
        <is>
          <t>High</t>
        </is>
      </c>
      <c r="F60" s="2" t="inlineStr">
        <is>
          <t>The system shall allow an authorized reviewer or approver to review a submitted quiz and approve, reject or return it for correction before publication.</t>
        </is>
      </c>
      <c r="G60" s="2" t="n">
        <v>9</v>
      </c>
      <c r="H60" s="2" t="inlineStr">
        <is>
          <t>Admin</t>
        </is>
      </c>
      <c r="I60" s="2" t="inlineStr">
        <is>
          <t>Not started</t>
        </is>
      </c>
      <c r="J60" s="2" t="inlineStr">
        <is>
          <t>No implementation in prototype.</t>
        </is>
      </c>
      <c r="K60" s="2" t="inlineStr">
        <is>
          <t>Workflow, Audience, Notifications, Audit</t>
        </is>
      </c>
      <c r="L60" s="2" t="inlineStr">
        <is>
          <t>R2</t>
        </is>
      </c>
      <c r="M60" s="2" t="inlineStr">
        <is>
          <t>S7–S9</t>
        </is>
      </c>
      <c r="N60" s="2" t="inlineStr">
        <is>
          <t>S</t>
        </is>
      </c>
      <c r="O60" s="2" t="n">
        <v>3</v>
      </c>
      <c r="P60" s="2" t="inlineStr"/>
      <c r="Q60" s="2" t="inlineStr">
        <is>
          <t>TC-GAM-REQ03-01..09</t>
        </is>
      </c>
      <c r="R60" s="2" t="inlineStr">
        <is>
          <t>TRA Taxpayer Education Content Reviewer / Approved Tax Subject Matter Expert</t>
        </is>
      </c>
      <c r="S60" s="2" t="inlineStr">
        <is>
          <t>Planned</t>
        </is>
      </c>
    </row>
    <row r="61">
      <c r="A61" s="2" t="inlineStr">
        <is>
          <t>GAM-REQ04</t>
        </is>
      </c>
      <c r="B61" s="2" t="n">
        <v>8</v>
      </c>
      <c r="C61" s="2" t="inlineStr">
        <is>
          <t>Quiz &amp; Gamification</t>
        </is>
      </c>
      <c r="D61" s="2" t="inlineStr">
        <is>
          <t>Publish and Schedule Quiz</t>
        </is>
      </c>
      <c r="E61" s="2" t="inlineStr">
        <is>
          <t>High</t>
        </is>
      </c>
      <c r="F61" s="2" t="inlineStr">
        <is>
          <t>The system shall allow an authorized user to publish an approved quiz immediately or schedule it for a defined availability period.</t>
        </is>
      </c>
      <c r="G61" s="2" t="n">
        <v>9</v>
      </c>
      <c r="H61" s="2" t="inlineStr">
        <is>
          <t>Mobile / Web / Admin</t>
        </is>
      </c>
      <c r="I61" s="2" t="inlineStr">
        <is>
          <t>Partial</t>
        </is>
      </c>
      <c r="J61" s="2" t="inlineStr">
        <is>
          <t>is_active toggle only. Missing: approved-only, scheduling open/close, targeting, notifications, publication history.</t>
        </is>
      </c>
      <c r="K61" s="2" t="inlineStr">
        <is>
          <t>Workflow, Audience, Notifications, Audit, Scoped RBAC</t>
        </is>
      </c>
      <c r="L61" s="2" t="inlineStr">
        <is>
          <t>R2</t>
        </is>
      </c>
      <c r="M61" s="2" t="inlineStr">
        <is>
          <t>S7–S9</t>
        </is>
      </c>
      <c r="N61" s="2" t="inlineStr">
        <is>
          <t>M</t>
        </is>
      </c>
      <c r="O61" s="2" t="n">
        <v>4</v>
      </c>
      <c r="P61" s="2" t="inlineStr"/>
      <c r="Q61" s="2" t="inlineStr">
        <is>
          <t>TC-GAM-REQ04-01..09</t>
        </is>
      </c>
      <c r="R61" s="2" t="inlineStr">
        <is>
          <t>TRA Tax Club Programme Coordinator / Tax Education Officer</t>
        </is>
      </c>
      <c r="S61" s="2" t="inlineStr">
        <is>
          <t>Planned</t>
        </is>
      </c>
    </row>
    <row r="62">
      <c r="A62" s="2" t="inlineStr">
        <is>
          <t>GAM-REQ05</t>
        </is>
      </c>
      <c r="B62" s="2" t="n">
        <v>8</v>
      </c>
      <c r="C62" s="2" t="inlineStr">
        <is>
          <t>Quiz &amp; Gamification</t>
        </is>
      </c>
      <c r="D62" s="2" t="inlineStr">
        <is>
          <t>Participate in Quiz</t>
        </is>
      </c>
      <c r="E62" s="2" t="inlineStr">
        <is>
          <t>High</t>
        </is>
      </c>
      <c r="F62" s="2" t="inlineStr">
        <is>
          <t>The system shall allow an eligible Tax Club member to access and attempt an available quiz through the Mobile Application or Web Application.</t>
        </is>
      </c>
      <c r="G62" s="2" t="n">
        <v>10</v>
      </c>
      <c r="H62" s="2" t="inlineStr">
        <is>
          <t>Mobile / Web</t>
        </is>
      </c>
      <c r="I62" s="2" t="inlineStr">
        <is>
          <t>Partial</t>
        </is>
      </c>
      <c r="J62" s="2" t="inlineStr">
        <is>
          <t>Members fetch questions (correct answers hidden) and submit. Missing: eligibility, instructions screen, time limit, attempt limit, autosave, server-side start time.</t>
        </is>
      </c>
      <c r="K62" s="2" t="inlineStr">
        <is>
          <t>Workflow, Audience, Audit</t>
        </is>
      </c>
      <c r="L62" s="2" t="inlineStr">
        <is>
          <t>R2</t>
        </is>
      </c>
      <c r="M62" s="2" t="inlineStr">
        <is>
          <t>S7–S9</t>
        </is>
      </c>
      <c r="N62" s="2" t="inlineStr">
        <is>
          <t>L</t>
        </is>
      </c>
      <c r="O62" s="2" t="n">
        <v>6</v>
      </c>
      <c r="P62" s="2" t="inlineStr"/>
      <c r="Q62" s="2" t="inlineStr">
        <is>
          <t>TC-GAM-REQ05-01..10</t>
        </is>
      </c>
      <c r="R62" s="2" t="inlineStr">
        <is>
          <t>TRA Tax Club Learning Programme Officer / Tax Club Member Representative</t>
        </is>
      </c>
      <c r="S62" s="2" t="inlineStr">
        <is>
          <t>Planned</t>
        </is>
      </c>
    </row>
    <row r="63">
      <c r="A63" s="2" t="inlineStr">
        <is>
          <t>GAM-REQ06</t>
        </is>
      </c>
      <c r="B63" s="2" t="n">
        <v>8</v>
      </c>
      <c r="C63" s="2" t="inlineStr">
        <is>
          <t>Quiz &amp; Gamification</t>
        </is>
      </c>
      <c r="D63" s="2" t="inlineStr">
        <is>
          <t>Automated Scoring and Quiz Results</t>
        </is>
      </c>
      <c r="E63" s="2" t="inlineStr">
        <is>
          <t>High</t>
        </is>
      </c>
      <c r="F63" s="2" t="inlineStr">
        <is>
          <t>The system shall automatically calculate and record a member's quiz score based on the approved answer key and scoring rules after a valid quiz attempt is submitted.</t>
        </is>
      </c>
      <c r="G63" s="2" t="n">
        <v>9</v>
      </c>
      <c r="H63" s="2" t="inlineStr">
        <is>
          <t>Mobile / Web / Admin</t>
        </is>
      </c>
      <c r="I63" s="2" t="inlineStr">
        <is>
          <t>Partial</t>
        </is>
      </c>
      <c r="J63" s="2" t="inlineStr">
        <is>
          <t>Automatic scoring, percentage, pass/fail, per-question responses. Missing: configurable pass mark, result release timing, answer/explanation visibility rules, aggregate reporting; error text leaked on failure.</t>
        </is>
      </c>
      <c r="K63" s="2" t="inlineStr">
        <is>
          <t>Workflow, Audit</t>
        </is>
      </c>
      <c r="L63" s="2" t="inlineStr">
        <is>
          <t>R2</t>
        </is>
      </c>
      <c r="M63" s="2" t="inlineStr">
        <is>
          <t>S7–S9</t>
        </is>
      </c>
      <c r="N63" s="2" t="inlineStr">
        <is>
          <t>M</t>
        </is>
      </c>
      <c r="O63" s="2" t="n">
        <v>4</v>
      </c>
      <c r="P63" s="2" t="inlineStr"/>
      <c r="Q63" s="2" t="inlineStr">
        <is>
          <t>TC-GAM-REQ06-01..09</t>
        </is>
      </c>
      <c r="R63" s="2" t="inlineStr">
        <is>
          <t>TRA Tax Education Content Officer / Assessment Responsible Officer</t>
        </is>
      </c>
      <c r="S63" s="2" t="inlineStr">
        <is>
          <t>Planned</t>
        </is>
      </c>
    </row>
    <row r="64">
      <c r="A64" s="2" t="inlineStr">
        <is>
          <t>GAM-REQ07</t>
        </is>
      </c>
      <c r="B64" s="2" t="n">
        <v>8</v>
      </c>
      <c r="C64" s="2" t="inlineStr">
        <is>
          <t>Quiz &amp; Gamification</t>
        </is>
      </c>
      <c r="D64" s="2" t="inlineStr">
        <is>
          <t>Manage Quiz Attempts, Time Limits and Retakes</t>
        </is>
      </c>
      <c r="E64" s="2" t="inlineStr">
        <is>
          <t>High</t>
        </is>
      </c>
      <c r="F64" s="2" t="inlineStr">
        <is>
          <t>The system shall enforce configured quiz attempt limits, time limits, retake rules and attempt status for each eligible member.</t>
        </is>
      </c>
      <c r="G64" s="2" t="n">
        <v>9</v>
      </c>
      <c r="H64" s="2" t="inlineStr">
        <is>
          <t>Mobile / Web / Admin</t>
        </is>
      </c>
      <c r="I64" s="2" t="inlineStr">
        <is>
          <t>Partial</t>
        </is>
      </c>
      <c r="J64" s="2" t="inlineStr">
        <is>
          <t>Unlimited retakes; best attempt retained; client-reported time_spent. Missing: max attempts, server-enforced time limit, auto-submit, configurable retained result.</t>
        </is>
      </c>
      <c r="K64" s="2" t="inlineStr">
        <is>
          <t>Workflow, Audience, Audit</t>
        </is>
      </c>
      <c r="L64" s="2" t="inlineStr">
        <is>
          <t>R2</t>
        </is>
      </c>
      <c r="M64" s="2" t="inlineStr">
        <is>
          <t>S7–S9</t>
        </is>
      </c>
      <c r="N64" s="2" t="inlineStr">
        <is>
          <t>M</t>
        </is>
      </c>
      <c r="O64" s="2" t="n">
        <v>4</v>
      </c>
      <c r="P64" s="2" t="inlineStr"/>
      <c r="Q64" s="2" t="inlineStr">
        <is>
          <t>TC-GAM-REQ07-01..09</t>
        </is>
      </c>
      <c r="R64" s="2" t="inlineStr">
        <is>
          <t>TRA Tax Club Programme Coordinator / Quiz Administrator</t>
        </is>
      </c>
      <c r="S64" s="2" t="inlineStr">
        <is>
          <t>Planned</t>
        </is>
      </c>
    </row>
    <row r="65">
      <c r="A65" s="2" t="inlineStr">
        <is>
          <t>GAM-REQ08</t>
        </is>
      </c>
      <c r="B65" s="2" t="n">
        <v>8</v>
      </c>
      <c r="C65" s="2" t="inlineStr">
        <is>
          <t>Quiz &amp; Gamification</t>
        </is>
      </c>
      <c r="D65" s="2" t="inlineStr">
        <is>
          <t>Points and Gamification Rules</t>
        </is>
      </c>
      <c r="E65" s="2" t="inlineStr">
        <is>
          <t>High</t>
        </is>
      </c>
      <c r="F65" s="2" t="inlineStr">
        <is>
          <t>The system shall calculate and award points to eligible members based on approved Tax Club learning and engagement activities according to configurable gamification rules.</t>
        </is>
      </c>
      <c r="G65" s="2" t="n">
        <v>9</v>
      </c>
      <c r="H65" s="2" t="inlineStr">
        <is>
          <t>Mobile / Web / Admin</t>
        </is>
      </c>
      <c r="I65" s="2" t="inlineStr">
        <is>
          <t>Partial</t>
        </is>
      </c>
      <c r="J65" s="2" t="inlineStr">
        <is>
          <t>Points = quiz points on best attempt, stored as totals on users. Missing: configurable rules, points ledger, duplicate prevention, admin corrections with audit.</t>
        </is>
      </c>
      <c r="K65" s="2" t="inlineStr">
        <is>
          <t>Workflow, Audience, Audit, Cases/Numbering</t>
        </is>
      </c>
      <c r="L65" s="2" t="inlineStr">
        <is>
          <t>R2</t>
        </is>
      </c>
      <c r="M65" s="2" t="inlineStr">
        <is>
          <t>S7–S9</t>
        </is>
      </c>
      <c r="N65" s="2" t="inlineStr">
        <is>
          <t>L</t>
        </is>
      </c>
      <c r="O65" s="2" t="n">
        <v>6</v>
      </c>
      <c r="P65" s="2" t="inlineStr">
        <is>
          <t>D-15</t>
        </is>
      </c>
      <c r="Q65" s="2" t="inlineStr">
        <is>
          <t>TC-GAM-REQ08-01..09</t>
        </is>
      </c>
      <c r="R65" s="2" t="inlineStr">
        <is>
          <t>TRA Tax Club Programme Coordinator / Gamification Responsible Officer</t>
        </is>
      </c>
      <c r="S65" s="2" t="inlineStr">
        <is>
          <t>Planned</t>
        </is>
      </c>
    </row>
    <row r="66">
      <c r="A66" s="2" t="inlineStr">
        <is>
          <t>GAM-REQ09</t>
        </is>
      </c>
      <c r="B66" s="2" t="n">
        <v>8</v>
      </c>
      <c r="C66" s="2" t="inlineStr">
        <is>
          <t>Quiz &amp; Gamification</t>
        </is>
      </c>
      <c r="D66" s="2" t="inlineStr">
        <is>
          <t>Badges and Achievements</t>
        </is>
      </c>
      <c r="E66" s="2" t="inlineStr">
        <is>
          <t>Medium</t>
        </is>
      </c>
      <c r="F66" s="2" t="inlineStr">
        <is>
          <t>The system shall automatically award and display digital badges or achievements when a member satisfies approved achievement criteria.</t>
        </is>
      </c>
      <c r="G66" s="2" t="n">
        <v>9</v>
      </c>
      <c r="H66" s="2" t="inlineStr">
        <is>
          <t>Mobile / Web / Admin</t>
        </is>
      </c>
      <c r="I66" s="2" t="inlineStr">
        <is>
          <t>Not started</t>
        </is>
      </c>
      <c r="J66" s="2" t="inlineStr">
        <is>
          <t>No implementation in prototype.</t>
        </is>
      </c>
      <c r="K66" s="2" t="inlineStr">
        <is>
          <t>Workflow, Audience, Notifications, Audit</t>
        </is>
      </c>
      <c r="L66" s="2" t="inlineStr">
        <is>
          <t>R2</t>
        </is>
      </c>
      <c r="M66" s="2" t="inlineStr">
        <is>
          <t>S7–S9</t>
        </is>
      </c>
      <c r="N66" s="2" t="inlineStr">
        <is>
          <t>M</t>
        </is>
      </c>
      <c r="O66" s="2" t="n">
        <v>5</v>
      </c>
      <c r="P66" s="2" t="inlineStr"/>
      <c r="Q66" s="2" t="inlineStr">
        <is>
          <t>TC-GAM-REQ09-01..09</t>
        </is>
      </c>
      <c r="R66" s="2" t="inlineStr">
        <is>
          <t>TRA Tax Club Programme Coordinator / Learning and Gamification Content Officer</t>
        </is>
      </c>
      <c r="S66" s="2" t="inlineStr">
        <is>
          <t>Planned</t>
        </is>
      </c>
    </row>
    <row r="67">
      <c r="A67" s="2" t="inlineStr">
        <is>
          <t>GAM-REQ10</t>
        </is>
      </c>
      <c r="B67" s="2" t="n">
        <v>8</v>
      </c>
      <c r="C67" s="2" t="inlineStr">
        <is>
          <t>Quiz &amp; Gamification</t>
        </is>
      </c>
      <c r="D67" s="2" t="inlineStr">
        <is>
          <t>Leaderboard Management</t>
        </is>
      </c>
      <c r="E67" s="2" t="inlineStr">
        <is>
          <t>Medium</t>
        </is>
      </c>
      <c r="F67" s="2" t="inlineStr">
        <is>
          <t>The system shall calculate and display approved leaderboards based on configured gamification metrics and eligibility rules.</t>
        </is>
      </c>
      <c r="G67" s="2" t="n">
        <v>10</v>
      </c>
      <c r="H67" s="2" t="inlineStr">
        <is>
          <t>Mobile / Web / Admin</t>
        </is>
      </c>
      <c r="I67" s="2" t="inlineStr">
        <is>
          <t>Partial</t>
        </is>
      </c>
      <c r="J67" s="2" t="inlineStr">
        <is>
          <t>Global (public, unauthenticated) and per-quiz leaderboards. Missing: periods, institution/region boards, enable/disable, minor privacy (currently exposes full names + membership IDs publicly).</t>
        </is>
      </c>
      <c r="K67" s="2" t="inlineStr">
        <is>
          <t>Workflow, Audience, Safeguarding, Scoped RBAC</t>
        </is>
      </c>
      <c r="L67" s="2" t="inlineStr">
        <is>
          <t>R2</t>
        </is>
      </c>
      <c r="M67" s="2" t="inlineStr">
        <is>
          <t>S7–S9</t>
        </is>
      </c>
      <c r="N67" s="2" t="inlineStr">
        <is>
          <t>L</t>
        </is>
      </c>
      <c r="O67" s="2" t="n">
        <v>6</v>
      </c>
      <c r="P67" s="2" t="inlineStr">
        <is>
          <t>D-04</t>
        </is>
      </c>
      <c r="Q67" s="2" t="inlineStr">
        <is>
          <t>TC-GAM-REQ10-01..10</t>
        </is>
      </c>
      <c r="R67" s="2" t="inlineStr">
        <is>
          <t>TRA Tax Club Programme Coordinator / Gamification Responsible Officer</t>
        </is>
      </c>
      <c r="S67" s="2" t="inlineStr">
        <is>
          <t>In progress</t>
        </is>
      </c>
    </row>
    <row r="68">
      <c r="A68" s="2" t="inlineStr">
        <is>
          <t>CMP-REQ01</t>
        </is>
      </c>
      <c r="B68" s="2" t="n">
        <v>9</v>
      </c>
      <c r="C68" s="2" t="inlineStr">
        <is>
          <t>Competition, Rewards &amp; Certificates</t>
        </is>
      </c>
      <c r="D68" s="2" t="inlineStr">
        <is>
          <t>Create Competition</t>
        </is>
      </c>
      <c r="E68" s="2" t="inlineStr">
        <is>
          <t>High</t>
        </is>
      </c>
      <c r="F68" s="2" t="inlineStr">
        <is>
          <t>The system shall allow an authorized user to create a Tax Club competition through the Administration Portal by defining its purpose, participation rules, schedule and applicable competition activities.</t>
        </is>
      </c>
      <c r="G68" s="2" t="n">
        <v>8</v>
      </c>
      <c r="H68" s="2" t="inlineStr">
        <is>
          <t>Mobile / Web / Admin</t>
        </is>
      </c>
      <c r="I68" s="2" t="inlineStr">
        <is>
          <t>Not started</t>
        </is>
      </c>
      <c r="J68" s="2" t="inlineStr">
        <is>
          <t>No implementation in prototype.</t>
        </is>
      </c>
      <c r="K68" s="2" t="inlineStr">
        <is>
          <t>Workflow, Audience, Audit, Scoped RBAC</t>
        </is>
      </c>
      <c r="L68" s="2" t="inlineStr">
        <is>
          <t>R4</t>
        </is>
      </c>
      <c r="M68" s="2" t="inlineStr">
        <is>
          <t>S14–S17</t>
        </is>
      </c>
      <c r="N68" s="2" t="inlineStr">
        <is>
          <t>M</t>
        </is>
      </c>
      <c r="O68" s="2" t="n">
        <v>5</v>
      </c>
      <c r="P68" s="2" t="inlineStr"/>
      <c r="Q68" s="2" t="inlineStr">
        <is>
          <t>TC-CMP-REQ01-01..08</t>
        </is>
      </c>
      <c r="R68" s="2" t="inlineStr">
        <is>
          <t>TRA Tax Club Programme Coordinator / Responsible Taxpayer Education Officer</t>
        </is>
      </c>
      <c r="S68" s="2" t="inlineStr">
        <is>
          <t>Planned</t>
        </is>
      </c>
    </row>
    <row r="69">
      <c r="A69" s="2" t="inlineStr">
        <is>
          <t>CMP-REQ02</t>
        </is>
      </c>
      <c r="B69" s="2" t="n">
        <v>9</v>
      </c>
      <c r="C69" s="2" t="inlineStr">
        <is>
          <t>Competition, Rewards &amp; Certificates</t>
        </is>
      </c>
      <c r="D69" s="2" t="inlineStr">
        <is>
          <t>Review and Approve Competition</t>
        </is>
      </c>
      <c r="E69" s="2" t="inlineStr">
        <is>
          <t>High</t>
        </is>
      </c>
      <c r="F69" s="2" t="inlineStr">
        <is>
          <t>The system shall allow an authorized reviewer or approver to review, approve, reject or return a draft competition for correction before publication.</t>
        </is>
      </c>
      <c r="G69" s="2" t="n">
        <v>8</v>
      </c>
      <c r="H69" s="2" t="inlineStr">
        <is>
          <t>Mobile / Web / Admin</t>
        </is>
      </c>
      <c r="I69" s="2" t="inlineStr">
        <is>
          <t>Not started</t>
        </is>
      </c>
      <c r="J69" s="2" t="inlineStr">
        <is>
          <t>No implementation in prototype.</t>
        </is>
      </c>
      <c r="K69" s="2" t="inlineStr">
        <is>
          <t>Workflow, Audience, Notifications, Audit</t>
        </is>
      </c>
      <c r="L69" s="2" t="inlineStr">
        <is>
          <t>R4</t>
        </is>
      </c>
      <c r="M69" s="2" t="inlineStr">
        <is>
          <t>S14–S17</t>
        </is>
      </c>
      <c r="N69" s="2" t="inlineStr">
        <is>
          <t>S</t>
        </is>
      </c>
      <c r="O69" s="2" t="n">
        <v>3</v>
      </c>
      <c r="P69" s="2" t="inlineStr"/>
      <c r="Q69" s="2" t="inlineStr">
        <is>
          <t>TC-CMP-REQ02-01..08</t>
        </is>
      </c>
      <c r="R69" s="2" t="inlineStr">
        <is>
          <t>TRA Tax Club Programme Coordinator / Authorized Competition Approver</t>
        </is>
      </c>
      <c r="S69" s="2" t="inlineStr">
        <is>
          <t>Planned</t>
        </is>
      </c>
    </row>
    <row r="70">
      <c r="A70" s="2" t="inlineStr">
        <is>
          <t>CMP-REQ03</t>
        </is>
      </c>
      <c r="B70" s="2" t="n">
        <v>9</v>
      </c>
      <c r="C70" s="2" t="inlineStr">
        <is>
          <t>Competition, Rewards &amp; Certificates</t>
        </is>
      </c>
      <c r="D70" s="2" t="inlineStr">
        <is>
          <t>Publish Competition and Manage Registration</t>
        </is>
      </c>
      <c r="E70" s="2" t="inlineStr">
        <is>
          <t>High</t>
        </is>
      </c>
      <c r="F70" s="2" t="inlineStr">
        <is>
          <t>The system shall allow an approved competition to be published or scheduled for publication and shall allow eligible members to register or enroll where registration is required.</t>
        </is>
      </c>
      <c r="G70" s="2" t="n">
        <v>9</v>
      </c>
      <c r="H70" s="2" t="inlineStr">
        <is>
          <t>Mobile / Web</t>
        </is>
      </c>
      <c r="I70" s="2" t="inlineStr">
        <is>
          <t>Not started</t>
        </is>
      </c>
      <c r="J70" s="2" t="inlineStr">
        <is>
          <t>No implementation in prototype.</t>
        </is>
      </c>
      <c r="K70" s="2" t="inlineStr">
        <is>
          <t>Workflow, Audience, Notifications</t>
        </is>
      </c>
      <c r="L70" s="2" t="inlineStr">
        <is>
          <t>R4</t>
        </is>
      </c>
      <c r="M70" s="2" t="inlineStr">
        <is>
          <t>S14–S17</t>
        </is>
      </c>
      <c r="N70" s="2" t="inlineStr">
        <is>
          <t>M</t>
        </is>
      </c>
      <c r="O70" s="2" t="n">
        <v>5</v>
      </c>
      <c r="P70" s="2" t="inlineStr"/>
      <c r="Q70" s="2" t="inlineStr">
        <is>
          <t>TC-CMP-REQ03-01..09</t>
        </is>
      </c>
      <c r="R70" s="2" t="inlineStr">
        <is>
          <t>TRA Tax Club Programme Coordinator / Competition Administrator</t>
        </is>
      </c>
      <c r="S70" s="2" t="inlineStr">
        <is>
          <t>Planned</t>
        </is>
      </c>
    </row>
    <row r="71">
      <c r="A71" s="2" t="inlineStr">
        <is>
          <t>CMP-REQ04</t>
        </is>
      </c>
      <c r="B71" s="2" t="n">
        <v>9</v>
      </c>
      <c r="C71" s="2" t="inlineStr">
        <is>
          <t>Competition, Rewards &amp; Certificates</t>
        </is>
      </c>
      <c r="D71" s="2" t="inlineStr">
        <is>
          <t>Participate in Competition and Submit Entry</t>
        </is>
      </c>
      <c r="E71" s="2" t="inlineStr">
        <is>
          <t>High</t>
        </is>
      </c>
      <c r="F71" s="2" t="inlineStr">
        <is>
          <t>The system shall allow an eligible registered member to participate in a competition and submit the required competition activity or entry within the configured participation period.</t>
        </is>
      </c>
      <c r="G71" s="2" t="n">
        <v>8</v>
      </c>
      <c r="H71" s="2" t="inlineStr">
        <is>
          <t>Mobile / Web</t>
        </is>
      </c>
      <c r="I71" s="2" t="inlineStr">
        <is>
          <t>Not started</t>
        </is>
      </c>
      <c r="J71" s="2" t="inlineStr">
        <is>
          <t>No implementation in prototype.</t>
        </is>
      </c>
      <c r="K71" s="2" t="inlineStr">
        <is>
          <t>Workflow, Audience, Audit</t>
        </is>
      </c>
      <c r="L71" s="2" t="inlineStr">
        <is>
          <t>R4</t>
        </is>
      </c>
      <c r="M71" s="2" t="inlineStr">
        <is>
          <t>S14–S17</t>
        </is>
      </c>
      <c r="N71" s="2" t="inlineStr">
        <is>
          <t>L</t>
        </is>
      </c>
      <c r="O71" s="2" t="n">
        <v>8</v>
      </c>
      <c r="P71" s="2" t="inlineStr"/>
      <c r="Q71" s="2" t="inlineStr">
        <is>
          <t>TC-CMP-REQ04-01..08</t>
        </is>
      </c>
      <c r="R71" s="2" t="inlineStr">
        <is>
          <t>TRA Tax Club Programme Coordinator / Competition Administrator</t>
        </is>
      </c>
      <c r="S71" s="2" t="inlineStr">
        <is>
          <t>Planned</t>
        </is>
      </c>
    </row>
    <row r="72">
      <c r="A72" s="2" t="inlineStr">
        <is>
          <t>CMP-REQ05</t>
        </is>
      </c>
      <c r="B72" s="2" t="n">
        <v>9</v>
      </c>
      <c r="C72" s="2" t="inlineStr">
        <is>
          <t>Competition, Rewards &amp; Certificates</t>
        </is>
      </c>
      <c r="D72" s="2" t="inlineStr">
        <is>
          <t>Competition Scoring, Ranking and Results Approval</t>
        </is>
      </c>
      <c r="E72" s="2" t="inlineStr">
        <is>
          <t>High</t>
        </is>
      </c>
      <c r="F72" s="2" t="inlineStr">
        <is>
          <t>The system shall calculate or record competition scores according to approved rules, rank participants and allow authorized users to review and approve final results before publication.</t>
        </is>
      </c>
      <c r="G72" s="2" t="n">
        <v>9</v>
      </c>
      <c r="H72" s="2" t="inlineStr">
        <is>
          <t>Admin</t>
        </is>
      </c>
      <c r="I72" s="2" t="inlineStr">
        <is>
          <t>Not started</t>
        </is>
      </c>
      <c r="J72" s="2" t="inlineStr">
        <is>
          <t>No implementation in prototype.</t>
        </is>
      </c>
      <c r="K72" s="2" t="inlineStr">
        <is>
          <t>Workflow, Audience, Audit, Cases/Numbering</t>
        </is>
      </c>
      <c r="L72" s="2" t="inlineStr">
        <is>
          <t>R4</t>
        </is>
      </c>
      <c r="M72" s="2" t="inlineStr">
        <is>
          <t>S14–S17</t>
        </is>
      </c>
      <c r="N72" s="2" t="inlineStr">
        <is>
          <t>L</t>
        </is>
      </c>
      <c r="O72" s="2" t="n">
        <v>8</v>
      </c>
      <c r="P72" s="2" t="inlineStr"/>
      <c r="Q72" s="2" t="inlineStr">
        <is>
          <t>TC-CMP-REQ05-01..09</t>
        </is>
      </c>
      <c r="R72" s="2" t="inlineStr">
        <is>
          <t>TRA Tax Club Programme Coordinator / Competition Judge or Approver</t>
        </is>
      </c>
      <c r="S72" s="2" t="inlineStr">
        <is>
          <t>Planned</t>
        </is>
      </c>
    </row>
    <row r="73">
      <c r="A73" s="2" t="inlineStr">
        <is>
          <t>RWD-REQ01</t>
        </is>
      </c>
      <c r="B73" s="2" t="n">
        <v>9</v>
      </c>
      <c r="C73" s="2" t="inlineStr">
        <is>
          <t>Competition, Rewards &amp; Certificates</t>
        </is>
      </c>
      <c r="D73" s="2" t="inlineStr">
        <is>
          <t>Configure Competition Rewards and Recognition</t>
        </is>
      </c>
      <c r="E73" s="2" t="inlineStr">
        <is>
          <t>Medium</t>
        </is>
      </c>
      <c r="F73" s="2" t="inlineStr">
        <is>
          <t>The system shall allow an authorized user to configure approved rewards and recognition associated with a competition, achievement or other eligible Tax Club activity.</t>
        </is>
      </c>
      <c r="G73" s="2" t="n">
        <v>7</v>
      </c>
      <c r="H73" s="2" t="inlineStr">
        <is>
          <t>Admin</t>
        </is>
      </c>
      <c r="I73" s="2" t="inlineStr">
        <is>
          <t>Not started</t>
        </is>
      </c>
      <c r="J73" s="2" t="inlineStr">
        <is>
          <t>No implementation in prototype.</t>
        </is>
      </c>
      <c r="K73" s="2" t="inlineStr">
        <is>
          <t>Workflow, Audience, Audit</t>
        </is>
      </c>
      <c r="L73" s="2" t="inlineStr">
        <is>
          <t>R4</t>
        </is>
      </c>
      <c r="M73" s="2" t="inlineStr">
        <is>
          <t>S14–S17</t>
        </is>
      </c>
      <c r="N73" s="2" t="inlineStr">
        <is>
          <t>M</t>
        </is>
      </c>
      <c r="O73" s="2" t="n">
        <v>5</v>
      </c>
      <c r="P73" s="2" t="inlineStr">
        <is>
          <t>D-16</t>
        </is>
      </c>
      <c r="Q73" s="2" t="inlineStr">
        <is>
          <t>TC-RWD-REQ01-01..07</t>
        </is>
      </c>
      <c r="R73" s="2" t="inlineStr">
        <is>
          <t>TRA Tax Club Programme Coordinator / Authorized Programme Approver</t>
        </is>
      </c>
      <c r="S73" s="2" t="inlineStr">
        <is>
          <t>Planned</t>
        </is>
      </c>
    </row>
    <row r="74">
      <c r="A74" s="2" t="inlineStr">
        <is>
          <t>RWD-REQ02</t>
        </is>
      </c>
      <c r="B74" s="2" t="n">
        <v>9</v>
      </c>
      <c r="C74" s="2" t="inlineStr">
        <is>
          <t>Competition, Rewards &amp; Certificates</t>
        </is>
      </c>
      <c r="D74" s="2" t="inlineStr">
        <is>
          <t>Award, Issue and Track Rewards</t>
        </is>
      </c>
      <c r="E74" s="2" t="inlineStr">
        <is>
          <t>Medium</t>
        </is>
      </c>
      <c r="F74" s="2" t="inlineStr">
        <is>
          <t>The system shall allow authorized users to assign approved rewards to eligible members and maintain a record of reward issuance, collection or delivery status.</t>
        </is>
      </c>
      <c r="G74" s="2" t="n">
        <v>8</v>
      </c>
      <c r="H74" s="2" t="inlineStr">
        <is>
          <t>Mobile / Web / Admin</t>
        </is>
      </c>
      <c r="I74" s="2" t="inlineStr">
        <is>
          <t>Not started</t>
        </is>
      </c>
      <c r="J74" s="2" t="inlineStr">
        <is>
          <t>No implementation in prototype.</t>
        </is>
      </c>
      <c r="K74" s="2" t="inlineStr">
        <is>
          <t>Workflow, Audience, Audit, Cases/Numbering</t>
        </is>
      </c>
      <c r="L74" s="2" t="inlineStr">
        <is>
          <t>R4</t>
        </is>
      </c>
      <c r="M74" s="2" t="inlineStr">
        <is>
          <t>S14–S17</t>
        </is>
      </c>
      <c r="N74" s="2" t="inlineStr">
        <is>
          <t>M</t>
        </is>
      </c>
      <c r="O74" s="2" t="n">
        <v>5</v>
      </c>
      <c r="P74" s="2" t="inlineStr">
        <is>
          <t>D-16</t>
        </is>
      </c>
      <c r="Q74" s="2" t="inlineStr">
        <is>
          <t>TC-RWD-REQ02-01..08</t>
        </is>
      </c>
      <c r="R74" s="2" t="inlineStr">
        <is>
          <t>TRA Tax Club Programme Coordinator / Reward Administration Responsible Officer</t>
        </is>
      </c>
      <c r="S74" s="2" t="inlineStr">
        <is>
          <t>Planned</t>
        </is>
      </c>
    </row>
    <row r="75">
      <c r="A75" s="2" t="inlineStr">
        <is>
          <t>CER-REQ01</t>
        </is>
      </c>
      <c r="B75" s="2" t="n">
        <v>9</v>
      </c>
      <c r="C75" s="2" t="inlineStr">
        <is>
          <t>Competition, Rewards &amp; Certificates</t>
        </is>
      </c>
      <c r="D75" s="2" t="inlineStr">
        <is>
          <t>Generate and Issue Digital Certificates</t>
        </is>
      </c>
      <c r="E75" s="2" t="inlineStr">
        <is>
          <t>Medium</t>
        </is>
      </c>
      <c r="F75" s="2" t="inlineStr">
        <is>
          <t>The system shall generate and issue digital certificates to eligible Tax Club members for approved competitions, learning achievements, events or other recognized activities.</t>
        </is>
      </c>
      <c r="G75" s="2" t="n">
        <v>8</v>
      </c>
      <c r="H75" s="2" t="inlineStr">
        <is>
          <t>Mobile / Web / Admin</t>
        </is>
      </c>
      <c r="I75" s="2" t="inlineStr">
        <is>
          <t>Not started</t>
        </is>
      </c>
      <c r="J75" s="2" t="inlineStr">
        <is>
          <t>No implementation in prototype.</t>
        </is>
      </c>
      <c r="K75" s="2" t="inlineStr">
        <is>
          <t>Workflow, Audience, Notifications, Audit</t>
        </is>
      </c>
      <c r="L75" s="2" t="inlineStr">
        <is>
          <t>R4</t>
        </is>
      </c>
      <c r="M75" s="2" t="inlineStr">
        <is>
          <t>S14–S17</t>
        </is>
      </c>
      <c r="N75" s="2" t="inlineStr">
        <is>
          <t>L</t>
        </is>
      </c>
      <c r="O75" s="2" t="n">
        <v>8</v>
      </c>
      <c r="P75" s="2" t="inlineStr">
        <is>
          <t>D-17</t>
        </is>
      </c>
      <c r="Q75" s="2" t="inlineStr">
        <is>
          <t>TC-CER-REQ01-01..08</t>
        </is>
      </c>
      <c r="R75" s="2" t="inlineStr">
        <is>
          <t>TRA Tax Club Programme Coordinator / Authorized Certificate Issuer</t>
        </is>
      </c>
      <c r="S75" s="2" t="inlineStr">
        <is>
          <t>Planned</t>
        </is>
      </c>
    </row>
    <row r="76">
      <c r="A76" s="2" t="inlineStr">
        <is>
          <t>CER-REQ02</t>
        </is>
      </c>
      <c r="B76" s="2" t="n">
        <v>9</v>
      </c>
      <c r="C76" s="2" t="inlineStr">
        <is>
          <t>Competition, Rewards &amp; Certificates</t>
        </is>
      </c>
      <c r="D76" s="2" t="inlineStr">
        <is>
          <t>Verify Digital Certificate Authenticity</t>
        </is>
      </c>
      <c r="E76" s="2" t="inlineStr">
        <is>
          <t>Medium</t>
        </is>
      </c>
      <c r="F76" s="2" t="inlineStr">
        <is>
          <t>The system shall allow a user to verify the authenticity and current status of a digital Tax Club certificate using its unique identifier, QR code or other approved verification mechanism.</t>
        </is>
      </c>
      <c r="G76" s="2" t="n">
        <v>6</v>
      </c>
      <c r="H76" s="2" t="inlineStr">
        <is>
          <t>Admin</t>
        </is>
      </c>
      <c r="I76" s="2" t="inlineStr">
        <is>
          <t>Not started</t>
        </is>
      </c>
      <c r="J76" s="2" t="inlineStr">
        <is>
          <t>No implementation in prototype.</t>
        </is>
      </c>
      <c r="K76" s="2" t="inlineStr">
        <is>
          <t>Workflow, Audit</t>
        </is>
      </c>
      <c r="L76" s="2" t="inlineStr">
        <is>
          <t>R4</t>
        </is>
      </c>
      <c r="M76" s="2" t="inlineStr">
        <is>
          <t>S14–S17</t>
        </is>
      </c>
      <c r="N76" s="2" t="inlineStr">
        <is>
          <t>M</t>
        </is>
      </c>
      <c r="O76" s="2" t="n">
        <v>5</v>
      </c>
      <c r="P76" s="2" t="inlineStr"/>
      <c r="Q76" s="2" t="inlineStr">
        <is>
          <t>TC-CER-REQ02-01..06</t>
        </is>
      </c>
      <c r="R76" s="2" t="inlineStr">
        <is>
          <t>TRA Tax Club Programme Coordinator / ICT Security Representative</t>
        </is>
      </c>
      <c r="S76" s="2" t="inlineStr">
        <is>
          <t>Planned</t>
        </is>
      </c>
    </row>
    <row r="77">
      <c r="A77" s="2" t="inlineStr">
        <is>
          <t>EVT-REQ01</t>
        </is>
      </c>
      <c r="B77" s="2" t="n">
        <v>10</v>
      </c>
      <c r="C77" s="2" t="inlineStr">
        <is>
          <t>Events &amp; Campaigns</t>
        </is>
      </c>
      <c r="D77" s="2" t="inlineStr">
        <is>
          <t>Create Event or Campaign</t>
        </is>
      </c>
      <c r="E77" s="2" t="inlineStr">
        <is>
          <t>High</t>
        </is>
      </c>
      <c r="F77" s="2" t="inlineStr">
        <is>
          <t>The system shall allow an authorized user to create a Tax Club event or campaign through the Administration Portal by defining its purpose, schedule, location, target audience and participation arrangements.</t>
        </is>
      </c>
      <c r="G77" s="2" t="n">
        <v>8</v>
      </c>
      <c r="H77" s="2" t="inlineStr">
        <is>
          <t>Mobile / Web / Admin</t>
        </is>
      </c>
      <c r="I77" s="2" t="inlineStr">
        <is>
          <t>Partial</t>
        </is>
      </c>
      <c r="J77" s="2" t="inlineStr">
        <is>
          <t>Create event with title, description, location, start/end. Missing: type/mode, objective, organizer, online info, audience, capacity, registration config, materials, Draft.</t>
        </is>
      </c>
      <c r="K77" s="2" t="inlineStr">
        <is>
          <t>Workflow, Audience, Notifications, Audit, Scoped RBAC</t>
        </is>
      </c>
      <c r="L77" s="2" t="inlineStr">
        <is>
          <t>R3</t>
        </is>
      </c>
      <c r="M77" s="2" t="inlineStr">
        <is>
          <t>S10–S13</t>
        </is>
      </c>
      <c r="N77" s="2" t="inlineStr">
        <is>
          <t>M</t>
        </is>
      </c>
      <c r="O77" s="2" t="n">
        <v>4</v>
      </c>
      <c r="P77" s="2" t="inlineStr"/>
      <c r="Q77" s="2" t="inlineStr">
        <is>
          <t>TC-EVT-REQ01-01..08</t>
        </is>
      </c>
      <c r="R77" s="2" t="inlineStr">
        <is>
          <t>TRA Tax Club Programme Coordinator / Tax Education Officer</t>
        </is>
      </c>
      <c r="S77" s="2" t="inlineStr">
        <is>
          <t>Planned</t>
        </is>
      </c>
    </row>
    <row r="78">
      <c r="A78" s="2" t="inlineStr">
        <is>
          <t>EVT-REQ02</t>
        </is>
      </c>
      <c r="B78" s="2" t="n">
        <v>10</v>
      </c>
      <c r="C78" s="2" t="inlineStr">
        <is>
          <t>Events &amp; Campaigns</t>
        </is>
      </c>
      <c r="D78" s="2" t="inlineStr">
        <is>
          <t>Review and Approve Event or Campaign</t>
        </is>
      </c>
      <c r="E78" s="2" t="inlineStr">
        <is>
          <t>High</t>
        </is>
      </c>
      <c r="F78" s="2" t="inlineStr">
        <is>
          <t>The system shall allow an authorized reviewer or approver to review, approve, reject or return a proposed event or campaign for correction before publication where approval is required.</t>
        </is>
      </c>
      <c r="G78" s="2" t="n">
        <v>8</v>
      </c>
      <c r="H78" s="2" t="inlineStr">
        <is>
          <t>Admin</t>
        </is>
      </c>
      <c r="I78" s="2" t="inlineStr">
        <is>
          <t>Not started</t>
        </is>
      </c>
      <c r="J78" s="2" t="inlineStr">
        <is>
          <t>No implementation in prototype.</t>
        </is>
      </c>
      <c r="K78" s="2" t="inlineStr">
        <is>
          <t>Workflow, Audience, Notifications, Audit</t>
        </is>
      </c>
      <c r="L78" s="2" t="inlineStr">
        <is>
          <t>R3</t>
        </is>
      </c>
      <c r="M78" s="2" t="inlineStr">
        <is>
          <t>S10–S13</t>
        </is>
      </c>
      <c r="N78" s="2" t="inlineStr">
        <is>
          <t>S</t>
        </is>
      </c>
      <c r="O78" s="2" t="n">
        <v>3</v>
      </c>
      <c r="P78" s="2" t="inlineStr"/>
      <c r="Q78" s="2" t="inlineStr">
        <is>
          <t>TC-EVT-REQ02-01..08</t>
        </is>
      </c>
      <c r="R78" s="2" t="inlineStr">
        <is>
          <t>TRA Tax Club Programme Coordinator / Authorized Event Approver</t>
        </is>
      </c>
      <c r="S78" s="2" t="inlineStr">
        <is>
          <t>Planned</t>
        </is>
      </c>
    </row>
    <row r="79">
      <c r="A79" s="2" t="inlineStr">
        <is>
          <t>EVT-REQ03</t>
        </is>
      </c>
      <c r="B79" s="2" t="n">
        <v>10</v>
      </c>
      <c r="C79" s="2" t="inlineStr">
        <is>
          <t>Events &amp; Campaigns</t>
        </is>
      </c>
      <c r="D79" s="2" t="inlineStr">
        <is>
          <t>Publish, Schedule and Target Event or Campaign</t>
        </is>
      </c>
      <c r="E79" s="2" t="inlineStr">
        <is>
          <t>High</t>
        </is>
      </c>
      <c r="F79" s="2" t="inlineStr">
        <is>
          <t>The system shall allow an approved event or campaign to be published immediately or scheduled for publication to the configured eligible audience.</t>
        </is>
      </c>
      <c r="G79" s="2" t="n">
        <v>7</v>
      </c>
      <c r="H79" s="2" t="inlineStr">
        <is>
          <t>Mobile / Web / Admin</t>
        </is>
      </c>
      <c r="I79" s="2" t="inlineStr">
        <is>
          <t>Partial</t>
        </is>
      </c>
      <c r="J79" s="2" t="inlineStr">
        <is>
          <t>is_active flag only. Missing: approval gate, scheduling, targeting, auto status, postpone/cancel.</t>
        </is>
      </c>
      <c r="K79" s="2" t="inlineStr">
        <is>
          <t>Workflow, Audience, Notifications, Audit, Scoped RBAC</t>
        </is>
      </c>
      <c r="L79" s="2" t="inlineStr">
        <is>
          <t>R3</t>
        </is>
      </c>
      <c r="M79" s="2" t="inlineStr">
        <is>
          <t>S10–S13</t>
        </is>
      </c>
      <c r="N79" s="2" t="inlineStr">
        <is>
          <t>M</t>
        </is>
      </c>
      <c r="O79" s="2" t="n">
        <v>4</v>
      </c>
      <c r="P79" s="2" t="inlineStr"/>
      <c r="Q79" s="2" t="inlineStr">
        <is>
          <t>TC-EVT-REQ03-01..07</t>
        </is>
      </c>
      <c r="R79" s="2" t="inlineStr">
        <is>
          <t>TRA Tax Club Programme Coordinator / Event Organizer</t>
        </is>
      </c>
      <c r="S79" s="2" t="inlineStr">
        <is>
          <t>Planned</t>
        </is>
      </c>
    </row>
    <row r="80">
      <c r="A80" s="2" t="inlineStr">
        <is>
          <t>EVT-REQ04</t>
        </is>
      </c>
      <c r="B80" s="2" t="n">
        <v>10</v>
      </c>
      <c r="C80" s="2" t="inlineStr">
        <is>
          <t>Events &amp; Campaigns</t>
        </is>
      </c>
      <c r="D80" s="2" t="inlineStr">
        <is>
          <t>Event Registration and RSVP</t>
        </is>
      </c>
      <c r="E80" s="2" t="inlineStr">
        <is>
          <t>High</t>
        </is>
      </c>
      <c r="F80" s="2" t="inlineStr">
        <is>
          <t>The system shall allow an eligible Tax Club member to register for or confirm attendance at an event where registration or RSVP is required.</t>
        </is>
      </c>
      <c r="G80" s="2" t="n">
        <v>8</v>
      </c>
      <c r="H80" s="2" t="inlineStr">
        <is>
          <t>Mobile / Web / Admin</t>
        </is>
      </c>
      <c r="I80" s="2" t="inlineStr">
        <is>
          <t>Partial</t>
        </is>
      </c>
      <c r="J80" s="2" t="inlineStr">
        <is>
          <t>Register / cancel registration; admin attendee list. Missing: eligibility, deadline/cut-off, confirmation, registration questions.</t>
        </is>
      </c>
      <c r="K80" s="2" t="inlineStr">
        <is>
          <t>Workflow, Audience</t>
        </is>
      </c>
      <c r="L80" s="2" t="inlineStr">
        <is>
          <t>R3</t>
        </is>
      </c>
      <c r="M80" s="2" t="inlineStr">
        <is>
          <t>S10–S13</t>
        </is>
      </c>
      <c r="N80" s="2" t="inlineStr">
        <is>
          <t>M</t>
        </is>
      </c>
      <c r="O80" s="2" t="n">
        <v>4</v>
      </c>
      <c r="P80" s="2" t="inlineStr"/>
      <c r="Q80" s="2" t="inlineStr">
        <is>
          <t>TC-EVT-REQ04-01..08</t>
        </is>
      </c>
      <c r="R80" s="2" t="inlineStr">
        <is>
          <t>TRA Tax Club Programme Coordinator / Event Organizer</t>
        </is>
      </c>
      <c r="S80" s="2" t="inlineStr">
        <is>
          <t>Planned</t>
        </is>
      </c>
    </row>
    <row r="81">
      <c r="A81" s="2" t="inlineStr">
        <is>
          <t>EVT-REQ05</t>
        </is>
      </c>
      <c r="B81" s="2" t="n">
        <v>10</v>
      </c>
      <c r="C81" s="2" t="inlineStr">
        <is>
          <t>Events &amp; Campaigns</t>
        </is>
      </c>
      <c r="D81" s="2" t="inlineStr">
        <is>
          <t>Event Capacity and Waitlist Management</t>
        </is>
      </c>
      <c r="E81" s="2" t="inlineStr">
        <is>
          <t>Medium</t>
        </is>
      </c>
      <c r="F81" s="2" t="inlineStr">
        <is>
          <t>The system shall enforce configured participant capacity for an event and support a waitlist where the event reaches maximum registration capacity and waitlisting is enabled.</t>
        </is>
      </c>
      <c r="G81" s="2" t="n">
        <v>8</v>
      </c>
      <c r="H81" s="2" t="inlineStr">
        <is>
          <t>Admin</t>
        </is>
      </c>
      <c r="I81" s="2" t="inlineStr">
        <is>
          <t>Not started</t>
        </is>
      </c>
      <c r="J81" s="2" t="inlineStr">
        <is>
          <t>No implementation in prototype.</t>
        </is>
      </c>
      <c r="K81" s="2" t="inlineStr">
        <is>
          <t>Workflow, Audience, Notifications, Audit</t>
        </is>
      </c>
      <c r="L81" s="2" t="inlineStr">
        <is>
          <t>R3</t>
        </is>
      </c>
      <c r="M81" s="2" t="inlineStr">
        <is>
          <t>S10–S13</t>
        </is>
      </c>
      <c r="N81" s="2" t="inlineStr">
        <is>
          <t>M</t>
        </is>
      </c>
      <c r="O81" s="2" t="n">
        <v>5</v>
      </c>
      <c r="P81" s="2" t="inlineStr"/>
      <c r="Q81" s="2" t="inlineStr">
        <is>
          <t>TC-EVT-REQ05-01..08</t>
        </is>
      </c>
      <c r="R81" s="2" t="inlineStr">
        <is>
          <t>TRA Tax Club Programme Coordinator / Event Organizer</t>
        </is>
      </c>
      <c r="S81" s="2" t="inlineStr">
        <is>
          <t>Planned</t>
        </is>
      </c>
    </row>
    <row r="82">
      <c r="A82" s="2" t="inlineStr">
        <is>
          <t>EVT-REQ06</t>
        </is>
      </c>
      <c r="B82" s="2" t="n">
        <v>10</v>
      </c>
      <c r="C82" s="2" t="inlineStr">
        <is>
          <t>Events &amp; Campaigns</t>
        </is>
      </c>
      <c r="D82" s="2" t="inlineStr">
        <is>
          <t>Event Attendance and Check-In</t>
        </is>
      </c>
      <c r="E82" s="2" t="inlineStr">
        <is>
          <t>High</t>
        </is>
      </c>
      <c r="F82" s="2" t="inlineStr">
        <is>
          <t>The system shall allow authorized users to record and verify participant attendance at applicable Tax Club events using approved manual, QR-based or other check-in methods.</t>
        </is>
      </c>
      <c r="G82" s="2" t="n">
        <v>7</v>
      </c>
      <c r="H82" s="2" t="inlineStr">
        <is>
          <t>Mobile / Web / Admin</t>
        </is>
      </c>
      <c r="I82" s="2" t="inlineStr">
        <is>
          <t>Partial</t>
        </is>
      </c>
      <c r="J82" s="2" t="inlineStr">
        <is>
          <t>Registration status enum includes 'attended' but no check-in flow. Missing: QR/manual check-in, officer/device record, corrections with reason.</t>
        </is>
      </c>
      <c r="K82" s="2" t="inlineStr">
        <is>
          <t>Workflow, Audience, Audit</t>
        </is>
      </c>
      <c r="L82" s="2" t="inlineStr">
        <is>
          <t>R3</t>
        </is>
      </c>
      <c r="M82" s="2" t="inlineStr">
        <is>
          <t>S10–S13</t>
        </is>
      </c>
      <c r="N82" s="2" t="inlineStr">
        <is>
          <t>L</t>
        </is>
      </c>
      <c r="O82" s="2" t="n">
        <v>6</v>
      </c>
      <c r="P82" s="2" t="inlineStr"/>
      <c r="Q82" s="2" t="inlineStr">
        <is>
          <t>TC-EVT-REQ06-01..07</t>
        </is>
      </c>
      <c r="R82" s="2" t="inlineStr">
        <is>
          <t>TRA Tax Club Programme Coordinator / Event Attendance Officer</t>
        </is>
      </c>
      <c r="S82" s="2" t="inlineStr">
        <is>
          <t>Planned</t>
        </is>
      </c>
    </row>
    <row r="83">
      <c r="A83" s="2" t="inlineStr">
        <is>
          <t>EVT-REQ07</t>
        </is>
      </c>
      <c r="B83" s="2" t="n">
        <v>10</v>
      </c>
      <c r="C83" s="2" t="inlineStr">
        <is>
          <t>Events &amp; Campaigns</t>
        </is>
      </c>
      <c r="D83" s="2" t="inlineStr">
        <is>
          <t>Event and Campaign Updates, Materials and Participant Information</t>
        </is>
      </c>
      <c r="E83" s="2" t="inlineStr">
        <is>
          <t>Medium</t>
        </is>
      </c>
      <c r="F83" s="2" t="inlineStr">
        <is>
          <t>The system shall allow authorized event organizers to publish approved updates, instructions and materials related to an active or upcoming event or campaign for access by the appropriate participants.</t>
        </is>
      </c>
      <c r="G83" s="2" t="n">
        <v>7</v>
      </c>
      <c r="H83" s="2" t="inlineStr">
        <is>
          <t>Mobile / Web / Admin</t>
        </is>
      </c>
      <c r="I83" s="2" t="inlineStr">
        <is>
          <t>Not started</t>
        </is>
      </c>
      <c r="J83" s="2" t="inlineStr">
        <is>
          <t>No implementation in prototype.</t>
        </is>
      </c>
      <c r="K83" s="2" t="inlineStr">
        <is>
          <t>Workflow, Audience, Notifications</t>
        </is>
      </c>
      <c r="L83" s="2" t="inlineStr">
        <is>
          <t>R3</t>
        </is>
      </c>
      <c r="M83" s="2" t="inlineStr">
        <is>
          <t>S10–S13</t>
        </is>
      </c>
      <c r="N83" s="2" t="inlineStr">
        <is>
          <t>M</t>
        </is>
      </c>
      <c r="O83" s="2" t="n">
        <v>5</v>
      </c>
      <c r="P83" s="2" t="inlineStr"/>
      <c r="Q83" s="2" t="inlineStr">
        <is>
          <t>TC-EVT-REQ07-01..07</t>
        </is>
      </c>
      <c r="R83" s="2" t="inlineStr">
        <is>
          <t>TRA Tax Club Programme Coordinator / Event Organizer</t>
        </is>
      </c>
      <c r="S83" s="2" t="inlineStr">
        <is>
          <t>Planned</t>
        </is>
      </c>
    </row>
    <row r="84">
      <c r="A84" s="2" t="inlineStr">
        <is>
          <t>EVT-REQ08</t>
        </is>
      </c>
      <c r="B84" s="2" t="n">
        <v>10</v>
      </c>
      <c r="C84" s="2" t="inlineStr">
        <is>
          <t>Events &amp; Campaigns</t>
        </is>
      </c>
      <c r="D84" s="2" t="inlineStr">
        <is>
          <t>Close Event or Campaign and Generate Participation Summary</t>
        </is>
      </c>
      <c r="E84" s="2" t="inlineStr">
        <is>
          <t>High</t>
        </is>
      </c>
      <c r="F84" s="2" t="inlineStr">
        <is>
          <t>The system shall allow an authorized organizer to close a completed event or campaign and generate an operational summary of registration, attendance and participation information.</t>
        </is>
      </c>
      <c r="G84" s="2" t="n">
        <v>9</v>
      </c>
      <c r="H84" s="2" t="inlineStr">
        <is>
          <t>Mobile / Web / Admin</t>
        </is>
      </c>
      <c r="I84" s="2" t="inlineStr">
        <is>
          <t>Not started</t>
        </is>
      </c>
      <c r="J84" s="2" t="inlineStr">
        <is>
          <t>No implementation in prototype.</t>
        </is>
      </c>
      <c r="K84" s="2" t="inlineStr">
        <is>
          <t>Workflow, Audit, Scoped RBAC</t>
        </is>
      </c>
      <c r="L84" s="2" t="inlineStr">
        <is>
          <t>R3</t>
        </is>
      </c>
      <c r="M84" s="2" t="inlineStr">
        <is>
          <t>S10–S13</t>
        </is>
      </c>
      <c r="N84" s="2" t="inlineStr">
        <is>
          <t>M</t>
        </is>
      </c>
      <c r="O84" s="2" t="n">
        <v>5</v>
      </c>
      <c r="P84" s="2" t="inlineStr"/>
      <c r="Q84" s="2" t="inlineStr">
        <is>
          <t>TC-EVT-REQ08-01..09</t>
        </is>
      </c>
      <c r="R84" s="2" t="inlineStr">
        <is>
          <t>TRA Tax Club Programme Coordinator / Monitoring and Evaluation Responsible Officer</t>
        </is>
      </c>
      <c r="S84" s="2" t="inlineStr">
        <is>
          <t>Planned</t>
        </is>
      </c>
    </row>
    <row r="85">
      <c r="A85" s="2" t="inlineStr">
        <is>
          <t>NOT-REQ01</t>
        </is>
      </c>
      <c r="B85" s="2" t="n">
        <v>11</v>
      </c>
      <c r="C85" s="2" t="inlineStr">
        <is>
          <t>Notification Management</t>
        </is>
      </c>
      <c r="D85" s="2" t="inlineStr">
        <is>
          <t>Notification Template and Channel Configuration</t>
        </is>
      </c>
      <c r="E85" s="2" t="inlineStr">
        <is>
          <t>High</t>
        </is>
      </c>
      <c r="F85" s="2" t="inlineStr">
        <is>
          <t>The system shall allow an authorized administrator to configure notification templates, supported delivery channels and notification categories for the TRA Tax Club Digital Platform.</t>
        </is>
      </c>
      <c r="G85" s="2" t="n">
        <v>8</v>
      </c>
      <c r="H85" s="2" t="inlineStr">
        <is>
          <t>Mobile / Web / Admin</t>
        </is>
      </c>
      <c r="I85" s="2" t="inlineStr">
        <is>
          <t>Not started</t>
        </is>
      </c>
      <c r="J85" s="2" t="inlineStr">
        <is>
          <t>No implementation in prototype.</t>
        </is>
      </c>
      <c r="K85" s="2" t="inlineStr">
        <is>
          <t>Workflow, Notifications, Audit</t>
        </is>
      </c>
      <c r="L85" s="2" t="inlineStr">
        <is>
          <t>R1</t>
        </is>
      </c>
      <c r="M85" s="2" t="inlineStr">
        <is>
          <t>S2–S6</t>
        </is>
      </c>
      <c r="N85" s="2" t="inlineStr">
        <is>
          <t>L</t>
        </is>
      </c>
      <c r="O85" s="2" t="n">
        <v>8</v>
      </c>
      <c r="P85" s="2" t="inlineStr">
        <is>
          <t>D-18</t>
        </is>
      </c>
      <c r="Q85" s="2" t="inlineStr">
        <is>
          <t>TC-NOT-REQ01-01..08</t>
        </is>
      </c>
      <c r="R85" s="2" t="inlineStr">
        <is>
          <t>TRA Tax Club Programme Coordinator / ICT Application Administrator</t>
        </is>
      </c>
      <c r="S85" s="2" t="inlineStr">
        <is>
          <t>Planned</t>
        </is>
      </c>
    </row>
    <row r="86">
      <c r="A86" s="2" t="inlineStr">
        <is>
          <t>NOT-REQ02</t>
        </is>
      </c>
      <c r="B86" s="2" t="n">
        <v>11</v>
      </c>
      <c r="C86" s="2" t="inlineStr">
        <is>
          <t>Notification Management</t>
        </is>
      </c>
      <c r="D86" s="2" t="inlineStr">
        <is>
          <t>Automated Transactional Notifications</t>
        </is>
      </c>
      <c r="E86" s="2" t="inlineStr">
        <is>
          <t>High</t>
        </is>
      </c>
      <c r="F86" s="2" t="inlineStr">
        <is>
          <t>The system shall automatically generate and send notifications to users when predefined system or business events occur.</t>
        </is>
      </c>
      <c r="G86" s="2" t="n">
        <v>7</v>
      </c>
      <c r="H86" s="2" t="inlineStr">
        <is>
          <t>Mobile / Web</t>
        </is>
      </c>
      <c r="I86" s="2" t="inlineStr">
        <is>
          <t>Not started</t>
        </is>
      </c>
      <c r="J86" s="2" t="inlineStr">
        <is>
          <t>No implementation in prototype.</t>
        </is>
      </c>
      <c r="K86" s="2" t="inlineStr">
        <is>
          <t>Workflow, Notifications, Audit</t>
        </is>
      </c>
      <c r="L86" s="2" t="inlineStr">
        <is>
          <t>R1</t>
        </is>
      </c>
      <c r="M86" s="2" t="inlineStr">
        <is>
          <t>S2–S6</t>
        </is>
      </c>
      <c r="N86" s="2" t="inlineStr">
        <is>
          <t>L</t>
        </is>
      </c>
      <c r="O86" s="2" t="n">
        <v>8</v>
      </c>
      <c r="P86" s="2" t="inlineStr">
        <is>
          <t>D-18</t>
        </is>
      </c>
      <c r="Q86" s="2" t="inlineStr">
        <is>
          <t>TC-NOT-REQ02-01..07</t>
        </is>
      </c>
      <c r="R86" s="2" t="inlineStr">
        <is>
          <t>TRA Tax Club Programme Coordinator / ICT Application Administrator</t>
        </is>
      </c>
      <c r="S86" s="2" t="inlineStr">
        <is>
          <t>In progress</t>
        </is>
      </c>
    </row>
    <row r="87">
      <c r="A87" s="2" t="inlineStr">
        <is>
          <t>NOT-REQ03</t>
        </is>
      </c>
      <c r="B87" s="2" t="n">
        <v>11</v>
      </c>
      <c r="C87" s="2" t="inlineStr">
        <is>
          <t>Notification Management</t>
        </is>
      </c>
      <c r="D87" s="2" t="inlineStr">
        <is>
          <t>Targeted and Broadcast Notifications</t>
        </is>
      </c>
      <c r="E87" s="2" t="inlineStr">
        <is>
          <t>High</t>
        </is>
      </c>
      <c r="F87" s="2" t="inlineStr">
        <is>
          <t>The system shall allow an authorized user to create and send targeted or broadcast notifications to selected Tax Club audiences through the Administration Portal.</t>
        </is>
      </c>
      <c r="G87" s="2" t="n">
        <v>8</v>
      </c>
      <c r="H87" s="2" t="inlineStr">
        <is>
          <t>Mobile / Web / Admin</t>
        </is>
      </c>
      <c r="I87" s="2" t="inlineStr">
        <is>
          <t>Not started</t>
        </is>
      </c>
      <c r="J87" s="2" t="inlineStr">
        <is>
          <t>No implementation in prototype.</t>
        </is>
      </c>
      <c r="K87" s="2" t="inlineStr">
        <is>
          <t>Workflow, Audience, Notifications, Audit, Scoped RBAC</t>
        </is>
      </c>
      <c r="L87" s="2" t="inlineStr">
        <is>
          <t>R3</t>
        </is>
      </c>
      <c r="M87" s="2" t="inlineStr">
        <is>
          <t>S10–S13</t>
        </is>
      </c>
      <c r="N87" s="2" t="inlineStr">
        <is>
          <t>L</t>
        </is>
      </c>
      <c r="O87" s="2" t="n">
        <v>8</v>
      </c>
      <c r="P87" s="2" t="inlineStr"/>
      <c r="Q87" s="2" t="inlineStr">
        <is>
          <t>TC-NOT-REQ03-01..08</t>
        </is>
      </c>
      <c r="R87" s="2" t="inlineStr">
        <is>
          <t>TRA Tax Club Programme Coordinator / Taxpayer Education Communication Officer</t>
        </is>
      </c>
      <c r="S87" s="2" t="inlineStr">
        <is>
          <t>Planned</t>
        </is>
      </c>
    </row>
    <row r="88">
      <c r="A88" s="2" t="inlineStr">
        <is>
          <t>NOT-REQ04</t>
        </is>
      </c>
      <c r="B88" s="2" t="n">
        <v>11</v>
      </c>
      <c r="C88" s="2" t="inlineStr">
        <is>
          <t>Notification Management</t>
        </is>
      </c>
      <c r="D88" s="2" t="inlineStr">
        <is>
          <t>Scheduled Notifications and Reminders</t>
        </is>
      </c>
      <c r="E88" s="2" t="inlineStr">
        <is>
          <t>Medium</t>
        </is>
      </c>
      <c r="F88" s="2" t="inlineStr">
        <is>
          <t>The system shall support automated and administrator-configured reminder notifications for time-bound Tax Club activities.</t>
        </is>
      </c>
      <c r="G88" s="2" t="n">
        <v>7</v>
      </c>
      <c r="H88" s="2" t="inlineStr">
        <is>
          <t>Admin</t>
        </is>
      </c>
      <c r="I88" s="2" t="inlineStr">
        <is>
          <t>Not started</t>
        </is>
      </c>
      <c r="J88" s="2" t="inlineStr">
        <is>
          <t>No implementation in prototype.</t>
        </is>
      </c>
      <c r="K88" s="2" t="inlineStr">
        <is>
          <t>Workflow, Audience, Notifications, Audit</t>
        </is>
      </c>
      <c r="L88" s="2" t="inlineStr">
        <is>
          <t>R3</t>
        </is>
      </c>
      <c r="M88" s="2" t="inlineStr">
        <is>
          <t>S10–S13</t>
        </is>
      </c>
      <c r="N88" s="2" t="inlineStr">
        <is>
          <t>M</t>
        </is>
      </c>
      <c r="O88" s="2" t="n">
        <v>5</v>
      </c>
      <c r="P88" s="2" t="inlineStr"/>
      <c r="Q88" s="2" t="inlineStr">
        <is>
          <t>TC-NOT-REQ04-01..07</t>
        </is>
      </c>
      <c r="R88" s="2" t="inlineStr">
        <is>
          <t>TRA Tax Club Programme Coordinator / ICT Application Administrator</t>
        </is>
      </c>
      <c r="S88" s="2" t="inlineStr">
        <is>
          <t>Planned</t>
        </is>
      </c>
    </row>
    <row r="89">
      <c r="A89" s="2" t="inlineStr">
        <is>
          <t>NOT-REQ05</t>
        </is>
      </c>
      <c r="B89" s="2" t="n">
        <v>11</v>
      </c>
      <c r="C89" s="2" t="inlineStr">
        <is>
          <t>Notification Management</t>
        </is>
      </c>
      <c r="D89" s="2" t="inlineStr">
        <is>
          <t>User Notification Preferences</t>
        </is>
      </c>
      <c r="E89" s="2" t="inlineStr">
        <is>
          <t>Medium</t>
        </is>
      </c>
      <c r="F89" s="2" t="inlineStr">
        <is>
          <t>The system shall allow a user to manage permitted notification preferences for optional notification categories and delivery channels through the Mobile Application or Web Application.</t>
        </is>
      </c>
      <c r="G89" s="2" t="n">
        <v>7</v>
      </c>
      <c r="H89" s="2" t="inlineStr">
        <is>
          <t>Mobile / Web</t>
        </is>
      </c>
      <c r="I89" s="2" t="inlineStr">
        <is>
          <t>Not started</t>
        </is>
      </c>
      <c r="J89" s="2" t="inlineStr">
        <is>
          <t>No implementation in prototype.</t>
        </is>
      </c>
      <c r="K89" s="2" t="inlineStr">
        <is>
          <t>Audience, Notifications, Safeguarding</t>
        </is>
      </c>
      <c r="L89" s="2" t="inlineStr">
        <is>
          <t>R2</t>
        </is>
      </c>
      <c r="M89" s="2" t="inlineStr">
        <is>
          <t>S7–S9</t>
        </is>
      </c>
      <c r="N89" s="2" t="inlineStr">
        <is>
          <t>M</t>
        </is>
      </c>
      <c r="O89" s="2" t="n">
        <v>5</v>
      </c>
      <c r="P89" s="2" t="inlineStr"/>
      <c r="Q89" s="2" t="inlineStr">
        <is>
          <t>TC-NOT-REQ05-01..07</t>
        </is>
      </c>
      <c r="R89" s="2" t="inlineStr">
        <is>
          <t>TRA Tax Club Programme Coordinator / ICT Application Administrator</t>
        </is>
      </c>
      <c r="S89" s="2" t="inlineStr">
        <is>
          <t>Planned</t>
        </is>
      </c>
    </row>
    <row r="90">
      <c r="A90" s="2" t="inlineStr">
        <is>
          <t>NOT-REQ06</t>
        </is>
      </c>
      <c r="B90" s="2" t="n">
        <v>11</v>
      </c>
      <c r="C90" s="2" t="inlineStr">
        <is>
          <t>Notification Management</t>
        </is>
      </c>
      <c r="D90" s="2" t="inlineStr">
        <is>
          <t>Notification Inbox and Read Status</t>
        </is>
      </c>
      <c r="E90" s="2" t="inlineStr">
        <is>
          <t>High</t>
        </is>
      </c>
      <c r="F90" s="2" t="inlineStr">
        <is>
          <t>The system shall provide an in-app notification inbox that allows authenticated users to view and manage notifications received through the Tax Club Digital Platform.</t>
        </is>
      </c>
      <c r="G90" s="2" t="n">
        <v>8</v>
      </c>
      <c r="H90" s="2" t="inlineStr">
        <is>
          <t>Mobile / Web</t>
        </is>
      </c>
      <c r="I90" s="2" t="inlineStr">
        <is>
          <t>Not started</t>
        </is>
      </c>
      <c r="J90" s="2" t="inlineStr">
        <is>
          <t>No implementation in prototype.</t>
        </is>
      </c>
      <c r="K90" s="2" t="inlineStr">
        <is>
          <t>Workflow, Notifications, Audit</t>
        </is>
      </c>
      <c r="L90" s="2" t="inlineStr">
        <is>
          <t>R1</t>
        </is>
      </c>
      <c r="M90" s="2" t="inlineStr">
        <is>
          <t>S2–S6</t>
        </is>
      </c>
      <c r="N90" s="2" t="inlineStr">
        <is>
          <t>M</t>
        </is>
      </c>
      <c r="O90" s="2" t="n">
        <v>5</v>
      </c>
      <c r="P90" s="2" t="inlineStr"/>
      <c r="Q90" s="2" t="inlineStr">
        <is>
          <t>TC-NOT-REQ06-01..08</t>
        </is>
      </c>
      <c r="R90" s="2" t="inlineStr">
        <is>
          <t>TRA Tax Club Programme Coordinator / ICT Application Administrator</t>
        </is>
      </c>
      <c r="S90" s="2" t="inlineStr">
        <is>
          <t>Planned</t>
        </is>
      </c>
    </row>
    <row r="91">
      <c r="A91" s="2" t="inlineStr">
        <is>
          <t>NOT-REQ07</t>
        </is>
      </c>
      <c r="B91" s="2" t="n">
        <v>11</v>
      </c>
      <c r="C91" s="2" t="inlineStr">
        <is>
          <t>Notification Management</t>
        </is>
      </c>
      <c r="D91" s="2" t="inlineStr">
        <is>
          <t>Notification Delivery Tracking, Failure and Retry</t>
        </is>
      </c>
      <c r="E91" s="2" t="inlineStr">
        <is>
          <t>Medium</t>
        </is>
      </c>
      <c r="F91" s="2" t="inlineStr">
        <is>
          <t>The system shall track notification delivery attempts and support controlled retry of failed notifications for applicable delivery channels.</t>
        </is>
      </c>
      <c r="G91" s="2" t="n">
        <v>8</v>
      </c>
      <c r="H91" s="2" t="inlineStr">
        <is>
          <t>Admin</t>
        </is>
      </c>
      <c r="I91" s="2" t="inlineStr">
        <is>
          <t>Not started</t>
        </is>
      </c>
      <c r="J91" s="2" t="inlineStr">
        <is>
          <t>No implementation in prototype.</t>
        </is>
      </c>
      <c r="K91" s="2" t="inlineStr">
        <is>
          <t>Workflow, Audience, Notifications, Audit</t>
        </is>
      </c>
      <c r="L91" s="2" t="inlineStr">
        <is>
          <t>R3</t>
        </is>
      </c>
      <c r="M91" s="2" t="inlineStr">
        <is>
          <t>S10–S13</t>
        </is>
      </c>
      <c r="N91" s="2" t="inlineStr">
        <is>
          <t>M</t>
        </is>
      </c>
      <c r="O91" s="2" t="n">
        <v>5</v>
      </c>
      <c r="P91" s="2" t="inlineStr"/>
      <c r="Q91" s="2" t="inlineStr">
        <is>
          <t>TC-NOT-REQ07-01..08</t>
        </is>
      </c>
      <c r="R91" s="2" t="inlineStr">
        <is>
          <t>TRA ICT Operations / Application Administrator</t>
        </is>
      </c>
      <c r="S91" s="2" t="inlineStr">
        <is>
          <t>In progress</t>
        </is>
      </c>
    </row>
    <row r="92">
      <c r="A92" s="2" t="inlineStr">
        <is>
          <t>FBK-REQ01</t>
        </is>
      </c>
      <c r="B92" s="2" t="n">
        <v>12</v>
      </c>
      <c r="C92" s="2" t="inlineStr">
        <is>
          <t>Feedback, User Safety &amp; Moderation</t>
        </is>
      </c>
      <c r="D92" s="2" t="inlineStr">
        <is>
          <t>Submit Feedback and Suggestions</t>
        </is>
      </c>
      <c r="E92" s="2" t="inlineStr">
        <is>
          <t>High</t>
        </is>
      </c>
      <c r="F92" s="2" t="inlineStr">
        <is>
          <t>The system shall allow an authenticated user to submit feedback, suggestions or platform-related concerns through the Mobile Application or Web Application.</t>
        </is>
      </c>
      <c r="G92" s="2" t="n">
        <v>9</v>
      </c>
      <c r="H92" s="2" t="inlineStr">
        <is>
          <t>Mobile / Web</t>
        </is>
      </c>
      <c r="I92" s="2" t="inlineStr">
        <is>
          <t>Not started</t>
        </is>
      </c>
      <c r="J92" s="2" t="inlineStr">
        <is>
          <t>No implementation in prototype.</t>
        </is>
      </c>
      <c r="K92" s="2" t="inlineStr">
        <is>
          <t>Workflow, Notifications, Audit, Cases/Numbering, Safeguarding</t>
        </is>
      </c>
      <c r="L92" s="2" t="inlineStr">
        <is>
          <t>R3</t>
        </is>
      </c>
      <c r="M92" s="2" t="inlineStr">
        <is>
          <t>S10–S13</t>
        </is>
      </c>
      <c r="N92" s="2" t="inlineStr">
        <is>
          <t>M</t>
        </is>
      </c>
      <c r="O92" s="2" t="n">
        <v>5</v>
      </c>
      <c r="P92" s="2" t="inlineStr"/>
      <c r="Q92" s="2" t="inlineStr">
        <is>
          <t>TC-FBK-REQ01-01..09</t>
        </is>
      </c>
      <c r="R92" s="2" t="inlineStr">
        <is>
          <t>TRA Tax Club Programme Coordinator / User Support Responsible Officer</t>
        </is>
      </c>
      <c r="S92" s="2" t="inlineStr">
        <is>
          <t>Planned</t>
        </is>
      </c>
    </row>
    <row r="93">
      <c r="A93" s="2" t="inlineStr">
        <is>
          <t>FBK-REQ02</t>
        </is>
      </c>
      <c r="B93" s="2" t="n">
        <v>12</v>
      </c>
      <c r="C93" s="2" t="inlineStr">
        <is>
          <t>Feedback, User Safety &amp; Moderation</t>
        </is>
      </c>
      <c r="D93" s="2" t="inlineStr">
        <is>
          <t>Feedback Classification and Assignment</t>
        </is>
      </c>
      <c r="E93" s="2" t="inlineStr">
        <is>
          <t>Medium</t>
        </is>
      </c>
      <c r="F93" s="2" t="inlineStr">
        <is>
          <t>The system shall allow an authorized user to classify, prioritize and assign submitted feedback to the appropriate responsible officer or functional area.</t>
        </is>
      </c>
      <c r="G93" s="2" t="n">
        <v>8</v>
      </c>
      <c r="H93" s="2" t="inlineStr">
        <is>
          <t>Admin</t>
        </is>
      </c>
      <c r="I93" s="2" t="inlineStr">
        <is>
          <t>Not started</t>
        </is>
      </c>
      <c r="J93" s="2" t="inlineStr">
        <is>
          <t>No implementation in prototype.</t>
        </is>
      </c>
      <c r="K93" s="2" t="inlineStr">
        <is>
          <t>Workflow, Notifications, Audit, Cases/Numbering</t>
        </is>
      </c>
      <c r="L93" s="2" t="inlineStr">
        <is>
          <t>R3</t>
        </is>
      </c>
      <c r="M93" s="2" t="inlineStr">
        <is>
          <t>S10–S13</t>
        </is>
      </c>
      <c r="N93" s="2" t="inlineStr">
        <is>
          <t>S</t>
        </is>
      </c>
      <c r="O93" s="2" t="n">
        <v>3</v>
      </c>
      <c r="P93" s="2" t="inlineStr"/>
      <c r="Q93" s="2" t="inlineStr">
        <is>
          <t>TC-FBK-REQ02-01..08</t>
        </is>
      </c>
      <c r="R93" s="2" t="inlineStr">
        <is>
          <t>TRA Tax Club Programme Coordinator / ICT Support Lead</t>
        </is>
      </c>
      <c r="S93" s="2" t="inlineStr">
        <is>
          <t>Planned</t>
        </is>
      </c>
    </row>
    <row r="94">
      <c r="A94" s="2" t="inlineStr">
        <is>
          <t>FBK-REQ03</t>
        </is>
      </c>
      <c r="B94" s="2" t="n">
        <v>12</v>
      </c>
      <c r="C94" s="2" t="inlineStr">
        <is>
          <t>Feedback, User Safety &amp; Moderation</t>
        </is>
      </c>
      <c r="D94" s="2" t="inlineStr">
        <is>
          <t>Feedback Review, Response and Closure</t>
        </is>
      </c>
      <c r="E94" s="2" t="inlineStr">
        <is>
          <t>High</t>
        </is>
      </c>
      <c r="F94" s="2" t="inlineStr">
        <is>
          <t>The system shall allow an authorized officer to review submitted feedback, record a response or action taken, and close the feedback when resolution is completed.</t>
        </is>
      </c>
      <c r="G94" s="2" t="n">
        <v>8</v>
      </c>
      <c r="H94" s="2" t="inlineStr">
        <is>
          <t>Admin</t>
        </is>
      </c>
      <c r="I94" s="2" t="inlineStr">
        <is>
          <t>Not started</t>
        </is>
      </c>
      <c r="J94" s="2" t="inlineStr">
        <is>
          <t>No implementation in prototype.</t>
        </is>
      </c>
      <c r="K94" s="2" t="inlineStr">
        <is>
          <t>Workflow, Notifications, Audit, Cases/Numbering, Safeguarding</t>
        </is>
      </c>
      <c r="L94" s="2" t="inlineStr">
        <is>
          <t>R3</t>
        </is>
      </c>
      <c r="M94" s="2" t="inlineStr">
        <is>
          <t>S10–S13</t>
        </is>
      </c>
      <c r="N94" s="2" t="inlineStr">
        <is>
          <t>M</t>
        </is>
      </c>
      <c r="O94" s="2" t="n">
        <v>5</v>
      </c>
      <c r="P94" s="2" t="inlineStr"/>
      <c r="Q94" s="2" t="inlineStr">
        <is>
          <t>TC-FBK-REQ03-01..08</t>
        </is>
      </c>
      <c r="R94" s="2" t="inlineStr">
        <is>
          <t>TRA Tax Club Programme Coordinator / Responsible Service Owner</t>
        </is>
      </c>
      <c r="S94" s="2" t="inlineStr">
        <is>
          <t>Planned</t>
        </is>
      </c>
    </row>
    <row r="95">
      <c r="A95" s="2" t="inlineStr">
        <is>
          <t>FBK-REQ04</t>
        </is>
      </c>
      <c r="B95" s="2" t="n">
        <v>12</v>
      </c>
      <c r="C95" s="2" t="inlineStr">
        <is>
          <t>Feedback, User Safety &amp; Moderation</t>
        </is>
      </c>
      <c r="D95" s="2" t="inlineStr">
        <is>
          <t>Feedback Status Tracking</t>
        </is>
      </c>
      <c r="E95" s="2" t="inlineStr">
        <is>
          <t>Medium</t>
        </is>
      </c>
      <c r="F95" s="2" t="inlineStr">
        <is>
          <t>The system shall allow a user to view the current status and permitted response information for feedback they have submitted.</t>
        </is>
      </c>
      <c r="G95" s="2" t="n">
        <v>6</v>
      </c>
      <c r="H95" s="2" t="inlineStr">
        <is>
          <t>Admin</t>
        </is>
      </c>
      <c r="I95" s="2" t="inlineStr">
        <is>
          <t>Not started</t>
        </is>
      </c>
      <c r="J95" s="2" t="inlineStr">
        <is>
          <t>No implementation in prototype.</t>
        </is>
      </c>
      <c r="K95" s="2" t="inlineStr">
        <is>
          <t>Workflow, Cases/Numbering</t>
        </is>
      </c>
      <c r="L95" s="2" t="inlineStr">
        <is>
          <t>R3</t>
        </is>
      </c>
      <c r="M95" s="2" t="inlineStr">
        <is>
          <t>S10–S13</t>
        </is>
      </c>
      <c r="N95" s="2" t="inlineStr">
        <is>
          <t>S</t>
        </is>
      </c>
      <c r="O95" s="2" t="n">
        <v>3</v>
      </c>
      <c r="P95" s="2" t="inlineStr"/>
      <c r="Q95" s="2" t="inlineStr">
        <is>
          <t>TC-FBK-REQ04-01..06</t>
        </is>
      </c>
      <c r="R95" s="2" t="inlineStr">
        <is>
          <t>TRA Tax Club Programme Coordinator / ICT Application Administrator</t>
        </is>
      </c>
      <c r="S95" s="2" t="inlineStr">
        <is>
          <t>Planned</t>
        </is>
      </c>
    </row>
    <row r="96">
      <c r="A96" s="2" t="inlineStr">
        <is>
          <t>SAF-REQ01</t>
        </is>
      </c>
      <c r="B96" s="2" t="n">
        <v>12</v>
      </c>
      <c r="C96" s="2" t="inlineStr">
        <is>
          <t>Feedback, User Safety &amp; Moderation</t>
        </is>
      </c>
      <c r="D96" s="2" t="inlineStr">
        <is>
          <t>Report Inappropriate Content or User Behaviour</t>
        </is>
      </c>
      <c r="E96" s="2" t="inlineStr">
        <is>
          <t>High</t>
        </is>
      </c>
      <c r="F96" s="2" t="inlineStr">
        <is>
          <t>The system shall allow a permitted user to report inappropriate content, unsafe behaviour or suspected violations of Tax Club community rules.</t>
        </is>
      </c>
      <c r="G96" s="2" t="n">
        <v>8</v>
      </c>
      <c r="H96" s="2" t="inlineStr">
        <is>
          <t>Admin</t>
        </is>
      </c>
      <c r="I96" s="2" t="inlineStr">
        <is>
          <t>Not started</t>
        </is>
      </c>
      <c r="J96" s="2" t="inlineStr">
        <is>
          <t>No implementation in prototype.</t>
        </is>
      </c>
      <c r="K96" s="2" t="inlineStr">
        <is>
          <t>Workflow, Audience, Notifications, Audit, Cases/Numbering, Safeguarding</t>
        </is>
      </c>
      <c r="L96" s="2" t="inlineStr">
        <is>
          <t>R4</t>
        </is>
      </c>
      <c r="M96" s="2" t="inlineStr">
        <is>
          <t>S14–S17</t>
        </is>
      </c>
      <c r="N96" s="2" t="inlineStr">
        <is>
          <t>M</t>
        </is>
      </c>
      <c r="O96" s="2" t="n">
        <v>5</v>
      </c>
      <c r="P96" s="2" t="inlineStr"/>
      <c r="Q96" s="2" t="inlineStr">
        <is>
          <t>TC-SAF-REQ01-01..08</t>
        </is>
      </c>
      <c r="R96" s="2" t="inlineStr">
        <is>
          <t>TRA Tax Club Programme Coordinator / Safeguarding or Moderation Responsible Officer</t>
        </is>
      </c>
      <c r="S96" s="2" t="inlineStr">
        <is>
          <t>Planned</t>
        </is>
      </c>
    </row>
    <row r="97">
      <c r="A97" s="2" t="inlineStr">
        <is>
          <t>SAF-REQ02</t>
        </is>
      </c>
      <c r="B97" s="2" t="n">
        <v>12</v>
      </c>
      <c r="C97" s="2" t="inlineStr">
        <is>
          <t>Feedback, User Safety &amp; Moderation</t>
        </is>
      </c>
      <c r="D97" s="2" t="inlineStr">
        <is>
          <t>Moderation Case Review and Investigation</t>
        </is>
      </c>
      <c r="E97" s="2" t="inlineStr">
        <is>
          <t>High</t>
        </is>
      </c>
      <c r="F97" s="2" t="inlineStr">
        <is>
          <t>The system shall allow an authorized moderator to review, investigate, prioritize and manage reports of inappropriate content or user behaviour.</t>
        </is>
      </c>
      <c r="G97" s="2" t="n">
        <v>8</v>
      </c>
      <c r="H97" s="2" t="inlineStr">
        <is>
          <t>Admin</t>
        </is>
      </c>
      <c r="I97" s="2" t="inlineStr">
        <is>
          <t>Not started</t>
        </is>
      </c>
      <c r="J97" s="2" t="inlineStr">
        <is>
          <t>No implementation in prototype.</t>
        </is>
      </c>
      <c r="K97" s="2" t="inlineStr">
        <is>
          <t>Workflow, Notifications, Audit, Cases/Numbering, Safeguarding, Scoped RBAC</t>
        </is>
      </c>
      <c r="L97" s="2" t="inlineStr">
        <is>
          <t>R4</t>
        </is>
      </c>
      <c r="M97" s="2" t="inlineStr">
        <is>
          <t>S14–S17</t>
        </is>
      </c>
      <c r="N97" s="2" t="inlineStr">
        <is>
          <t>L</t>
        </is>
      </c>
      <c r="O97" s="2" t="n">
        <v>8</v>
      </c>
      <c r="P97" s="2" t="inlineStr"/>
      <c r="Q97" s="2" t="inlineStr">
        <is>
          <t>TC-SAF-REQ02-01..08</t>
        </is>
      </c>
      <c r="R97" s="2" t="inlineStr">
        <is>
          <t>TRA Moderation / Safeguarding Responsible Officer</t>
        </is>
      </c>
      <c r="S97" s="2" t="inlineStr">
        <is>
          <t>Planned</t>
        </is>
      </c>
    </row>
    <row r="98">
      <c r="A98" s="2" t="inlineStr">
        <is>
          <t>SAF-REQ03</t>
        </is>
      </c>
      <c r="B98" s="2" t="n">
        <v>12</v>
      </c>
      <c r="C98" s="2" t="inlineStr">
        <is>
          <t>Feedback, User Safety &amp; Moderation</t>
        </is>
      </c>
      <c r="D98" s="2" t="inlineStr">
        <is>
          <t>Content Moderation Actions</t>
        </is>
      </c>
      <c r="E98" s="2" t="inlineStr">
        <is>
          <t>High</t>
        </is>
      </c>
      <c r="F98" s="2" t="inlineStr">
        <is>
          <t>The system shall allow an authorized moderator to apply approved moderation actions to user-generated content that violates Tax Club community rules.</t>
        </is>
      </c>
      <c r="G98" s="2" t="n">
        <v>8</v>
      </c>
      <c r="H98" s="2" t="inlineStr">
        <is>
          <t>Admin</t>
        </is>
      </c>
      <c r="I98" s="2" t="inlineStr">
        <is>
          <t>Not started</t>
        </is>
      </c>
      <c r="J98" s="2" t="inlineStr">
        <is>
          <t>No implementation in prototype.</t>
        </is>
      </c>
      <c r="K98" s="2" t="inlineStr">
        <is>
          <t>Workflow, Notifications, Audit, Cases/Numbering, Safeguarding</t>
        </is>
      </c>
      <c r="L98" s="2" t="inlineStr">
        <is>
          <t>R4</t>
        </is>
      </c>
      <c r="M98" s="2" t="inlineStr">
        <is>
          <t>S14–S17</t>
        </is>
      </c>
      <c r="N98" s="2" t="inlineStr">
        <is>
          <t>M</t>
        </is>
      </c>
      <c r="O98" s="2" t="n">
        <v>5</v>
      </c>
      <c r="P98" s="2" t="inlineStr"/>
      <c r="Q98" s="2" t="inlineStr">
        <is>
          <t>TC-SAF-REQ03-01..08</t>
        </is>
      </c>
      <c r="R98" s="2" t="inlineStr">
        <is>
          <t>TRA Community Moderator / Tax Club Programme Coordinator</t>
        </is>
      </c>
      <c r="S98" s="2" t="inlineStr">
        <is>
          <t>Planned</t>
        </is>
      </c>
    </row>
    <row r="99">
      <c r="A99" s="2" t="inlineStr">
        <is>
          <t>SAF-REQ04</t>
        </is>
      </c>
      <c r="B99" s="2" t="n">
        <v>12</v>
      </c>
      <c r="C99" s="2" t="inlineStr">
        <is>
          <t>Feedback, User Safety &amp; Moderation</t>
        </is>
      </c>
      <c r="D99" s="2" t="inlineStr">
        <is>
          <t>User Warning, Restriction, Suspension and Deactivation</t>
        </is>
      </c>
      <c r="E99" s="2" t="inlineStr">
        <is>
          <t>High</t>
        </is>
      </c>
      <c r="F99" s="2" t="inlineStr">
        <is>
          <t>The system shall allow an authorized moderator or administrator to apply approved account-level actions to users who violate community, safeguarding or security rules.</t>
        </is>
      </c>
      <c r="G99" s="2" t="n">
        <v>9</v>
      </c>
      <c r="H99" s="2" t="inlineStr">
        <is>
          <t>Mobile / Web / Admin</t>
        </is>
      </c>
      <c r="I99" s="2" t="inlineStr">
        <is>
          <t>Not started</t>
        </is>
      </c>
      <c r="J99" s="2" t="inlineStr">
        <is>
          <t>No implementation in prototype.</t>
        </is>
      </c>
      <c r="K99" s="2" t="inlineStr">
        <is>
          <t>Workflow, Notifications, Audit, Cases/Numbering, Safeguarding</t>
        </is>
      </c>
      <c r="L99" s="2" t="inlineStr">
        <is>
          <t>R4</t>
        </is>
      </c>
      <c r="M99" s="2" t="inlineStr">
        <is>
          <t>S14–S17</t>
        </is>
      </c>
      <c r="N99" s="2" t="inlineStr">
        <is>
          <t>L</t>
        </is>
      </c>
      <c r="O99" s="2" t="n">
        <v>8</v>
      </c>
      <c r="P99" s="2" t="inlineStr"/>
      <c r="Q99" s="2" t="inlineStr">
        <is>
          <t>TC-SAF-REQ04-01..09</t>
        </is>
      </c>
      <c r="R99" s="2" t="inlineStr">
        <is>
          <t>TRA Tax Club Programme Coordinator / Safeguarding Officer / ICT Security Representative</t>
        </is>
      </c>
      <c r="S99" s="2" t="inlineStr">
        <is>
          <t>Planned</t>
        </is>
      </c>
    </row>
    <row r="100">
      <c r="A100" s="2" t="inlineStr">
        <is>
          <t>SAF-REQ05</t>
        </is>
      </c>
      <c r="B100" s="2" t="n">
        <v>12</v>
      </c>
      <c r="C100" s="2" t="inlineStr">
        <is>
          <t>Feedback, User Safety &amp; Moderation</t>
        </is>
      </c>
      <c r="D100" s="2" t="inlineStr">
        <is>
          <t>Minor Safeguarding Controls and Escalation</t>
        </is>
      </c>
      <c r="E100" s="2" t="inlineStr">
        <is>
          <t>High</t>
        </is>
      </c>
      <c r="F100" s="2" t="inlineStr">
        <is>
          <t>The system shall enforce approved safeguarding controls for users classified as minors and support escalation of safety concerns to designated responsible officers.</t>
        </is>
      </c>
      <c r="G100" s="2" t="n">
        <v>9</v>
      </c>
      <c r="H100" s="2" t="inlineStr">
        <is>
          <t>Admin</t>
        </is>
      </c>
      <c r="I100" s="2" t="inlineStr">
        <is>
          <t>Not started</t>
        </is>
      </c>
      <c r="J100" s="2" t="inlineStr">
        <is>
          <t>No implementation in prototype.</t>
        </is>
      </c>
      <c r="K100" s="2" t="inlineStr">
        <is>
          <t>Workflow, Audit, Cases/Numbering, Safeguarding</t>
        </is>
      </c>
      <c r="L100" s="2" t="inlineStr">
        <is>
          <t>R4</t>
        </is>
      </c>
      <c r="M100" s="2" t="inlineStr">
        <is>
          <t>S14–S17</t>
        </is>
      </c>
      <c r="N100" s="2" t="inlineStr">
        <is>
          <t>L</t>
        </is>
      </c>
      <c r="O100" s="2" t="n">
        <v>8</v>
      </c>
      <c r="P100" s="2" t="inlineStr">
        <is>
          <t>D-04, D-11</t>
        </is>
      </c>
      <c r="Q100" s="2" t="inlineStr">
        <is>
          <t>TC-SAF-REQ05-01..09</t>
        </is>
      </c>
      <c r="R100" s="2" t="inlineStr">
        <is>
          <t>TRA Designated Safeguarding Responsible Officer / Tax Club Programme Coordinator</t>
        </is>
      </c>
      <c r="S100" s="2" t="inlineStr">
        <is>
          <t>Planned</t>
        </is>
      </c>
    </row>
    <row r="101">
      <c r="A101" s="2" t="inlineStr">
        <is>
          <t>SAF-REQ06</t>
        </is>
      </c>
      <c r="B101" s="2" t="n">
        <v>12</v>
      </c>
      <c r="C101" s="2" t="inlineStr">
        <is>
          <t>Feedback, User Safety &amp; Moderation</t>
        </is>
      </c>
      <c r="D101" s="2" t="inlineStr">
        <is>
          <t>Moderation Audit Trail and Safety Reporting</t>
        </is>
      </c>
      <c r="E101" s="2" t="inlineStr">
        <is>
          <t>High</t>
        </is>
      </c>
      <c r="F101" s="2" t="inlineStr">
        <is>
          <t>The system shall maintain an auditable record of moderation and safeguarding activities and provide authorized users with safety and moderation reports.</t>
        </is>
      </c>
      <c r="G101" s="2" t="n">
        <v>8</v>
      </c>
      <c r="H101" s="2" t="inlineStr">
        <is>
          <t>Admin</t>
        </is>
      </c>
      <c r="I101" s="2" t="inlineStr">
        <is>
          <t>Not started</t>
        </is>
      </c>
      <c r="J101" s="2" t="inlineStr">
        <is>
          <t>No implementation in prototype.</t>
        </is>
      </c>
      <c r="K101" s="2" t="inlineStr">
        <is>
          <t>Workflow, Audit, Cases/Numbering, Safeguarding</t>
        </is>
      </c>
      <c r="L101" s="2" t="inlineStr">
        <is>
          <t>R4</t>
        </is>
      </c>
      <c r="M101" s="2" t="inlineStr">
        <is>
          <t>S14–S17</t>
        </is>
      </c>
      <c r="N101" s="2" t="inlineStr">
        <is>
          <t>M</t>
        </is>
      </c>
      <c r="O101" s="2" t="n">
        <v>5</v>
      </c>
      <c r="P101" s="2" t="inlineStr">
        <is>
          <t>D-10</t>
        </is>
      </c>
      <c r="Q101" s="2" t="inlineStr">
        <is>
          <t>TC-SAF-REQ06-01..08</t>
        </is>
      </c>
      <c r="R101" s="2" t="inlineStr">
        <is>
          <t>TRA Safeguarding / Moderation Responsible Officer / ICT Security Representative</t>
        </is>
      </c>
      <c r="S101" s="2" t="inlineStr">
        <is>
          <t>Planned</t>
        </is>
      </c>
    </row>
  </sheetData>
  <autoFilter ref="A1:S101"/>
  <conditionalFormatting sqref="I2:I101">
    <cfRule type="cellIs" priority="1" operator="equal" dxfId="0">
      <formula>"Not started"</formula>
    </cfRule>
    <cfRule type="cellIs" priority="2" operator="equal" dxfId="1">
      <formula>"Partial"</formula>
    </cfRule>
  </conditionalFormatting>
  <dataValidations count="1">
    <dataValidation sqref="S2:S101" showDropDown="0" showInputMessage="0" showErrorMessage="0" allowBlank="1" type="list">
      <formula1>"Planned,In progress,In review,Done,Accepted (UAT),Deferred"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70" customWidth="1" min="2" max="2"/>
    <col width="9" customWidth="1" min="3" max="3"/>
    <col width="6" customWidth="1" min="4" max="4"/>
    <col width="10" customWidth="1" min="5" max="5"/>
  </cols>
  <sheetData>
    <row r="1" ht="32" customHeight="1">
      <c r="A1" s="1" t="inlineStr">
        <is>
          <t>Item</t>
        </is>
      </c>
      <c r="B1" s="1" t="inlineStr">
        <is>
          <t>Description</t>
        </is>
      </c>
      <c r="C1" s="1" t="inlineStr">
        <is>
          <t>Release</t>
        </is>
      </c>
      <c r="D1" s="1" t="inlineStr">
        <is>
          <t>Size</t>
        </is>
      </c>
      <c r="E1" s="1" t="inlineStr">
        <is>
          <t>Story points</t>
        </is>
      </c>
    </row>
    <row r="2">
      <c r="A2" s="2" t="inlineStr">
        <is>
          <t>R0-01</t>
        </is>
      </c>
      <c r="B2" s="2" t="inlineStr">
        <is>
          <t>Security remediation: rotate secrets, purge history, secret scanning</t>
        </is>
      </c>
      <c r="C2" s="2" t="inlineStr">
        <is>
          <t>R0</t>
        </is>
      </c>
      <c r="D2" s="2" t="inlineStr">
        <is>
          <t>S</t>
        </is>
      </c>
      <c r="E2" s="2" t="n">
        <v>3</v>
      </c>
    </row>
    <row r="3">
      <c r="A3" s="2" t="inlineStr">
        <is>
          <t>R0-02</t>
        </is>
      </c>
      <c r="B3" s="2" t="inlineStr">
        <is>
          <t>Monorepo + Docker Compose dev environment</t>
        </is>
      </c>
      <c r="C3" s="2" t="inlineStr">
        <is>
          <t>R0</t>
        </is>
      </c>
      <c r="D3" s="2" t="inlineStr">
        <is>
          <t>M</t>
        </is>
      </c>
      <c r="E3" s="2" t="n">
        <v>5</v>
      </c>
    </row>
    <row r="4">
      <c r="A4" s="2" t="inlineStr">
        <is>
          <t>R0-03</t>
        </is>
      </c>
      <c r="B4" s="2" t="inlineStr">
        <is>
          <t>CI/CD pipeline (lint, test, SAST, build, deploy to dev/staging)</t>
        </is>
      </c>
      <c r="C4" s="2" t="inlineStr">
        <is>
          <t>R0</t>
        </is>
      </c>
      <c r="D4" s="2" t="inlineStr">
        <is>
          <t>L</t>
        </is>
      </c>
      <c r="E4" s="2" t="n">
        <v>8</v>
      </c>
    </row>
    <row r="5">
      <c r="A5" s="2" t="inlineStr">
        <is>
          <t>R0-04</t>
        </is>
      </c>
      <c r="B5" s="2" t="inlineStr">
        <is>
          <t>Fix migrations (uuidMorphs, sessions), SQLite/MySQL test DB, factories</t>
        </is>
      </c>
      <c r="C5" s="2" t="inlineStr">
        <is>
          <t>R0</t>
        </is>
      </c>
      <c r="D5" s="2" t="inlineStr">
        <is>
          <t>M</t>
        </is>
      </c>
      <c r="E5" s="2" t="n">
        <v>5</v>
      </c>
    </row>
    <row r="6">
      <c r="A6" s="2" t="inlineStr">
        <is>
          <t>R0-05</t>
        </is>
      </c>
      <c r="B6" s="2" t="inlineStr">
        <is>
          <t>Feature-test harness + baseline tests for existing endpoints</t>
        </is>
      </c>
      <c r="C6" s="2" t="inlineStr">
        <is>
          <t>R0</t>
        </is>
      </c>
      <c r="D6" s="2" t="inlineStr">
        <is>
          <t>M</t>
        </is>
      </c>
      <c r="E6" s="2" t="n">
        <v>5</v>
      </c>
    </row>
    <row r="7">
      <c r="A7" s="2" t="inlineStr">
        <is>
          <t>R0-06</t>
        </is>
      </c>
      <c r="B7" s="2" t="inlineStr">
        <is>
          <t>OpenAPI generation + typed TS API client package</t>
        </is>
      </c>
      <c r="C7" s="2" t="inlineStr">
        <is>
          <t>R0</t>
        </is>
      </c>
      <c r="D7" s="2" t="inlineStr">
        <is>
          <t>M</t>
        </is>
      </c>
      <c r="E7" s="2" t="n">
        <v>5</v>
      </c>
    </row>
    <row r="8">
      <c r="A8" s="2" t="inlineStr">
        <is>
          <t>R0-07</t>
        </is>
      </c>
      <c r="B8" s="2" t="inlineStr">
        <is>
          <t>Audit Log service</t>
        </is>
      </c>
      <c r="C8" s="2" t="inlineStr">
        <is>
          <t>R0</t>
        </is>
      </c>
      <c r="D8" s="2" t="inlineStr">
        <is>
          <t>M</t>
        </is>
      </c>
      <c r="E8" s="2" t="n">
        <v>5</v>
      </c>
    </row>
    <row r="9">
      <c r="A9" s="2" t="inlineStr">
        <is>
          <t>R0-08</t>
        </is>
      </c>
      <c r="B9" s="2" t="inlineStr">
        <is>
          <t>Numbering/sequence service</t>
        </is>
      </c>
      <c r="C9" s="2" t="inlineStr">
        <is>
          <t>R0</t>
        </is>
      </c>
      <c r="D9" s="2" t="inlineStr">
        <is>
          <t>S</t>
        </is>
      </c>
      <c r="E9" s="2" t="n">
        <v>3</v>
      </c>
    </row>
    <row r="10">
      <c r="A10" s="2" t="inlineStr">
        <is>
          <t>R0-09</t>
        </is>
      </c>
      <c r="B10" s="2" t="inlineStr">
        <is>
          <t>Publishing Workflow engine + review queue API</t>
        </is>
      </c>
      <c r="C10" s="2" t="inlineStr">
        <is>
          <t>R0</t>
        </is>
      </c>
      <c r="D10" s="2" t="inlineStr">
        <is>
          <t>L</t>
        </is>
      </c>
      <c r="E10" s="2" t="n">
        <v>8</v>
      </c>
    </row>
    <row r="11">
      <c r="A11" s="2" t="inlineStr">
        <is>
          <t>R0-10</t>
        </is>
      </c>
      <c r="B11" s="2" t="inlineStr">
        <is>
          <t>Audience Rules engine</t>
        </is>
      </c>
      <c r="C11" s="2" t="inlineStr">
        <is>
          <t>R1</t>
        </is>
      </c>
      <c r="D11" s="2" t="inlineStr">
        <is>
          <t>L</t>
        </is>
      </c>
      <c r="E11" s="2" t="n">
        <v>8</v>
      </c>
    </row>
    <row r="12">
      <c r="A12" s="2" t="inlineStr">
        <is>
          <t>R0-11</t>
        </is>
      </c>
      <c r="B12" s="2" t="inlineStr">
        <is>
          <t>Scoped RBAC + Policies + role seeding</t>
        </is>
      </c>
      <c r="C12" s="2" t="inlineStr">
        <is>
          <t>R0</t>
        </is>
      </c>
      <c r="D12" s="2" t="inlineStr">
        <is>
          <t>L</t>
        </is>
      </c>
      <c r="E12" s="2" t="n">
        <v>8</v>
      </c>
    </row>
    <row r="13">
      <c r="A13" s="2" t="inlineStr">
        <is>
          <t>R0-12</t>
        </is>
      </c>
      <c r="B13" s="2" t="inlineStr">
        <is>
          <t>Media service (upload, scan, signed URLs, thumbnails)</t>
        </is>
      </c>
      <c r="C13" s="2" t="inlineStr">
        <is>
          <t>R1</t>
        </is>
      </c>
      <c r="D13" s="2" t="inlineStr">
        <is>
          <t>M</t>
        </is>
      </c>
      <c r="E13" s="2" t="n">
        <v>5</v>
      </c>
    </row>
    <row r="14">
      <c r="A14" s="2" t="inlineStr">
        <is>
          <t>R0-13</t>
        </is>
      </c>
      <c r="B14" s="2" t="inlineStr">
        <is>
          <t>Case Management engine</t>
        </is>
      </c>
      <c r="C14" s="2" t="inlineStr">
        <is>
          <t>R1</t>
        </is>
      </c>
      <c r="D14" s="2" t="inlineStr">
        <is>
          <t>L</t>
        </is>
      </c>
      <c r="E14" s="2" t="n">
        <v>8</v>
      </c>
    </row>
    <row r="15">
      <c r="A15" s="2" t="inlineStr">
        <is>
          <t>R0-14</t>
        </is>
      </c>
      <c r="B15" s="2" t="inlineStr">
        <is>
          <t>Design system (Figma), UX for R1 journeys, usability test with students (design track — not in dev velocity)</t>
        </is>
      </c>
      <c r="C15" s="2" t="inlineStr">
        <is>
          <t>R0</t>
        </is>
      </c>
      <c r="D15" s="2" t="inlineStr">
        <is>
          <t>L</t>
        </is>
      </c>
      <c r="E15" s="2" t="n">
        <v>0</v>
      </c>
    </row>
    <row r="16">
      <c r="A16" s="2" t="inlineStr">
        <is>
          <t>R0-15</t>
        </is>
      </c>
      <c r="B16" s="2" t="inlineStr">
        <is>
          <t>Expo member app scaffold: navigation, auth shell, i18n en/sw, offline cache</t>
        </is>
      </c>
      <c r="C16" s="2" t="inlineStr">
        <is>
          <t>R0</t>
        </is>
      </c>
      <c r="D16" s="2" t="inlineStr">
        <is>
          <t>L</t>
        </is>
      </c>
      <c r="E16" s="2" t="n">
        <v>8</v>
      </c>
    </row>
    <row r="17">
      <c r="A17" s="2" t="inlineStr">
        <is>
          <t>R0-16</t>
        </is>
      </c>
      <c r="B17" s="2" t="inlineStr">
        <is>
          <t>Admin portal fixes: single router, permission slugs, lockfile, API client</t>
        </is>
      </c>
      <c r="C17" s="2" t="inlineStr">
        <is>
          <t>R0</t>
        </is>
      </c>
      <c r="D17" s="2" t="inlineStr">
        <is>
          <t>M</t>
        </is>
      </c>
      <c r="E17" s="2" t="n">
        <v>5</v>
      </c>
    </row>
    <row r="18">
      <c r="A18" s="2" t="inlineStr">
        <is>
          <t>RH-01</t>
        </is>
      </c>
      <c r="B18" s="2" t="inlineStr">
        <is>
          <t>Data migration from prototype + rehearsal</t>
        </is>
      </c>
      <c r="C18" s="2" t="inlineStr">
        <is>
          <t>RH</t>
        </is>
      </c>
      <c r="D18" s="2" t="inlineStr">
        <is>
          <t>M</t>
        </is>
      </c>
      <c r="E18" s="2" t="n">
        <v>5</v>
      </c>
    </row>
    <row r="19">
      <c r="A19" s="2" t="inlineStr">
        <is>
          <t>RH-02</t>
        </is>
      </c>
      <c r="B19" s="2" t="inlineStr">
        <is>
          <t>Load &amp; performance testing, tuning</t>
        </is>
      </c>
      <c r="C19" s="2" t="inlineStr">
        <is>
          <t>RH</t>
        </is>
      </c>
      <c r="D19" s="2" t="inlineStr">
        <is>
          <t>M</t>
        </is>
      </c>
      <c r="E19" s="2" t="n">
        <v>5</v>
      </c>
    </row>
    <row r="20">
      <c r="A20" s="2" t="inlineStr">
        <is>
          <t>RH-03</t>
        </is>
      </c>
      <c r="B20" s="2" t="inlineStr">
        <is>
          <t>Reporting module (proposed M13) dashboards &amp; exports</t>
        </is>
      </c>
      <c r="C20" s="2" t="inlineStr">
        <is>
          <t>R5</t>
        </is>
      </c>
      <c r="D20" s="2" t="inlineStr">
        <is>
          <t>XL</t>
        </is>
      </c>
      <c r="E20" s="2" t="n">
        <v>13</v>
      </c>
    </row>
    <row r="21">
      <c r="A21" s="2" t="inlineStr">
        <is>
          <t>RH-04</t>
        </is>
      </c>
      <c r="B21" s="2" t="inlineStr">
        <is>
          <t>Platform administration (proposed M14): master data, settings, audit viewer</t>
        </is>
      </c>
      <c r="C21" s="2" t="inlineStr">
        <is>
          <t>R3</t>
        </is>
      </c>
      <c r="D21" s="2" t="inlineStr">
        <is>
          <t>L</t>
        </is>
      </c>
      <c r="E21" s="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12" customWidth="1" min="5" max="5"/>
    <col width="70" customWidth="1" min="6" max="6"/>
    <col width="9" customWidth="1" min="7" max="7"/>
    <col width="10" customWidth="1" min="8" max="8"/>
    <col width="12" customWidth="1" min="9" max="9"/>
    <col width="10" customWidth="1" min="10" max="10"/>
    <col width="12" customWidth="1" min="11" max="11"/>
    <col width="8" customWidth="1" min="12" max="12"/>
  </cols>
  <sheetData>
    <row r="1" ht="32" customHeight="1">
      <c r="A1" s="1" t="inlineStr">
        <is>
          <t>Release</t>
        </is>
      </c>
      <c r="B1" s="1" t="inlineStr">
        <is>
          <t>Name</t>
        </is>
      </c>
      <c r="C1" s="1" t="inlineStr">
        <is>
          <t>Sprints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Scope</t>
        </is>
      </c>
      <c r="G1" s="1" t="inlineStr">
        <is>
          <t>SRS reqs</t>
        </is>
      </c>
      <c r="H1" s="1" t="inlineStr">
        <is>
          <t>SRS points</t>
        </is>
      </c>
      <c r="I1" s="1" t="inlineStr">
        <is>
          <t>Foundation points</t>
        </is>
      </c>
      <c r="J1" s="1" t="inlineStr">
        <is>
          <t>Total points</t>
        </is>
      </c>
      <c r="K1" s="1" t="inlineStr">
        <is>
          <t>Capacity (pts)</t>
        </is>
      </c>
      <c r="L1" s="1" t="inlineStr">
        <is>
          <t>Load %</t>
        </is>
      </c>
    </row>
    <row r="2">
      <c r="A2" s="2" t="inlineStr">
        <is>
          <t>R0</t>
        </is>
      </c>
      <c r="B2" s="2" t="inlineStr">
        <is>
          <t>Stabilise &amp; Foundations</t>
        </is>
      </c>
      <c r="C2" s="2" t="inlineStr">
        <is>
          <t>S0–S1</t>
        </is>
      </c>
      <c r="D2" s="8" t="n">
        <v>46328</v>
      </c>
      <c r="E2" s="8" t="n">
        <v>46353</v>
      </c>
      <c r="F2" s="2" t="inlineStr">
        <is>
          <t>Security remediation, monorepo, CI/CD, Docker, migrations fixed, test harness, OpenAPI, shared services (Audit, Numbering, Workflow, Scoped RBAC), design system, Expo scaffold, i18n</t>
        </is>
      </c>
      <c r="G2" s="2">
        <f>COUNTIF(RTM!$L$2:$L$101,A2)</f>
        <v/>
      </c>
      <c r="H2" s="2">
        <f>SUMIF(RTM!$L$2:$L$101,A2,RTM!$O$2:$O$101)</f>
        <v/>
      </c>
      <c r="I2" s="2">
        <f>SUMIF('Foundations backlog'!$C$2:$C$100,A2,'Foundations backlog'!$E$2:$E$100)</f>
        <v/>
      </c>
      <c r="J2" s="2">
        <f>H2+I2</f>
        <v/>
      </c>
      <c r="K2" s="2" t="n">
        <v>70</v>
      </c>
      <c r="L2" s="4">
        <f>J2/K2</f>
        <v/>
      </c>
    </row>
    <row r="3">
      <c r="A3" s="2" t="inlineStr">
        <is>
          <t>R1</t>
        </is>
      </c>
      <c r="B3" s="2" t="inlineStr">
        <is>
          <t>Membership MVP (pilot)</t>
        </is>
      </c>
      <c r="C3" s="2" t="inlineStr">
        <is>
          <t>S2–S6</t>
        </is>
      </c>
      <c r="D3" s="8" t="n">
        <v>46356</v>
      </c>
      <c r="E3" s="8" t="n">
        <v>46444</v>
      </c>
      <c r="F3" s="2" t="inlineStr">
        <is>
          <t>M1 Registration &amp; accounts, M2 Profile &amp; digital card, M3 Institutions &amp; clubs, core Notifications (templates, transactional, inbox), Audience, Media and Case engines. Pilot with 10 institutions</t>
        </is>
      </c>
      <c r="G3" s="2">
        <f>COUNTIF(RTM!$L$2:$L$101,A3)</f>
        <v/>
      </c>
      <c r="H3" s="2">
        <f>SUMIF(RTM!$L$2:$L$101,A3,RTM!$O$2:$O$101)</f>
        <v/>
      </c>
      <c r="I3" s="2">
        <f>SUMIF('Foundations backlog'!$C$2:$C$100,A3,'Foundations backlog'!$E$2:$E$100)</f>
        <v/>
      </c>
      <c r="J3" s="2">
        <f>H3+I3</f>
        <v/>
      </c>
      <c r="K3" s="2" t="n">
        <v>175</v>
      </c>
      <c r="L3" s="4">
        <f>J3/K3</f>
        <v/>
      </c>
    </row>
    <row r="4">
      <c r="A4" s="2" t="inlineStr">
        <is>
          <t>R2</t>
        </is>
      </c>
      <c r="B4" s="2" t="inlineStr">
        <is>
          <t>Learn &amp; Play — national launch</t>
        </is>
      </c>
      <c r="C4" s="2" t="inlineStr">
        <is>
          <t>S7–S9</t>
        </is>
      </c>
      <c r="D4" s="8" t="n">
        <v>46447</v>
      </c>
      <c r="E4" s="8" t="n">
        <v>46486</v>
      </c>
      <c r="F4" s="2" t="inlineStr">
        <is>
          <t>M4 Learning, M8 Quiz &amp; gamification, notification preferences. App Store / Play Store public launch</t>
        </is>
      </c>
      <c r="G4" s="2">
        <f>COUNTIF(RTM!$L$2:$L$101,A4)</f>
        <v/>
      </c>
      <c r="H4" s="2">
        <f>SUMIF(RTM!$L$2:$L$101,A4,RTM!$O$2:$O$101)</f>
        <v/>
      </c>
      <c r="I4" s="2">
        <f>SUMIF('Foundations backlog'!$C$2:$C$100,A4,'Foundations backlog'!$E$2:$E$100)</f>
        <v/>
      </c>
      <c r="J4" s="2">
        <f>H4+I4</f>
        <v/>
      </c>
      <c r="K4" s="2" t="n">
        <v>105</v>
      </c>
      <c r="L4" s="4">
        <f>J4/K4</f>
        <v/>
      </c>
    </row>
    <row r="5">
      <c r="A5" s="2" t="inlineStr">
        <is>
          <t>R3</t>
        </is>
      </c>
      <c r="B5" s="2" t="inlineStr">
        <is>
          <t>Engage</t>
        </is>
      </c>
      <c r="C5" s="2" t="inlineStr">
        <is>
          <t>S10–S13</t>
        </is>
      </c>
      <c r="D5" s="8" t="n">
        <v>46489</v>
      </c>
      <c r="E5" s="8" t="n">
        <v>46542</v>
      </c>
      <c r="F5" s="2" t="inlineStr">
        <is>
          <t>M10 Events &amp; campaigns, M7 Opportunities, Feedback, broadcasts, reminders, delivery tracking, platform administration (master data, settings, audit viewer)</t>
        </is>
      </c>
      <c r="G5" s="2">
        <f>COUNTIF(RTM!$L$2:$L$101,A5)</f>
        <v/>
      </c>
      <c r="H5" s="2">
        <f>SUMIF(RTM!$L$2:$L$101,A5,RTM!$O$2:$O$101)</f>
        <v/>
      </c>
      <c r="I5" s="2">
        <f>SUMIF('Foundations backlog'!$C$2:$C$100,A5,'Foundations backlog'!$E$2:$E$100)</f>
        <v/>
      </c>
      <c r="J5" s="2">
        <f>H5+I5</f>
        <v/>
      </c>
      <c r="K5" s="2" t="n">
        <v>140</v>
      </c>
      <c r="L5" s="4">
        <f>J5/K5</f>
        <v/>
      </c>
    </row>
    <row r="6">
      <c r="A6" s="2" t="inlineStr">
        <is>
          <t>R4</t>
        </is>
      </c>
      <c r="B6" s="2" t="inlineStr">
        <is>
          <t>Community, Safety &amp; Competitions</t>
        </is>
      </c>
      <c r="C6" s="2" t="inlineStr">
        <is>
          <t>S14–S17</t>
        </is>
      </c>
      <c r="D6" s="8" t="n">
        <v>46545</v>
      </c>
      <c r="E6" s="8" t="n">
        <v>46598</v>
      </c>
      <c r="F6" s="2" t="inlineStr">
        <is>
          <t>M12 Safety &amp; moderation engine (first), M5 Q&amp;A &amp; community, M9 Competitions, rewards &amp; certificates</t>
        </is>
      </c>
      <c r="G6" s="2">
        <f>COUNTIF(RTM!$L$2:$L$101,A6)</f>
        <v/>
      </c>
      <c r="H6" s="2">
        <f>SUMIF(RTM!$L$2:$L$101,A6,RTM!$O$2:$O$101)</f>
        <v/>
      </c>
      <c r="I6" s="2">
        <f>SUMIF('Foundations backlog'!$C$2:$C$100,A6,'Foundations backlog'!$E$2:$E$100)</f>
        <v/>
      </c>
      <c r="J6" s="2">
        <f>H6+I6</f>
        <v/>
      </c>
      <c r="K6" s="2" t="n">
        <v>140</v>
      </c>
      <c r="L6" s="4">
        <f>J6/K6</f>
        <v/>
      </c>
    </row>
    <row r="7">
      <c r="A7" s="2" t="inlineStr">
        <is>
          <t>R5</t>
        </is>
      </c>
      <c r="B7" s="2" t="inlineStr">
        <is>
          <t>Alumni, Mentorship &amp; Reporting</t>
        </is>
      </c>
      <c r="C7" s="2" t="inlineStr">
        <is>
          <t>S18–S19</t>
        </is>
      </c>
      <c r="D7" s="8" t="n">
        <v>46601</v>
      </c>
      <c r="E7" s="8" t="n">
        <v>46626</v>
      </c>
      <c r="F7" s="2" t="inlineStr">
        <is>
          <t>M6 Alumni &amp; mentorship, reporting module (proposed M13), performance tuning</t>
        </is>
      </c>
      <c r="G7" s="2">
        <f>COUNTIF(RTM!$L$2:$L$101,A7)</f>
        <v/>
      </c>
      <c r="H7" s="2">
        <f>SUMIF(RTM!$L$2:$L$101,A7,RTM!$O$2:$O$101)</f>
        <v/>
      </c>
      <c r="I7" s="2">
        <f>SUMIF('Foundations backlog'!$C$2:$C$100,A7,'Foundations backlog'!$E$2:$E$100)</f>
        <v/>
      </c>
      <c r="J7" s="2">
        <f>H7+I7</f>
        <v/>
      </c>
      <c r="K7" s="2" t="n">
        <v>70</v>
      </c>
      <c r="L7" s="4">
        <f>J7/K7</f>
        <v/>
      </c>
    </row>
    <row r="8">
      <c r="A8" s="2" t="inlineStr">
        <is>
          <t>RH</t>
        </is>
      </c>
      <c r="B8" s="2" t="inlineStr">
        <is>
          <t>Hardening, Pen-test, Final UAT, Go-live</t>
        </is>
      </c>
      <c r="C8" s="2" t="inlineStr">
        <is>
          <t>S20–S21</t>
        </is>
      </c>
      <c r="D8" s="8" t="n">
        <v>46629</v>
      </c>
      <c r="E8" s="8" t="n">
        <v>46654</v>
      </c>
      <c r="F8" s="2" t="inlineStr">
        <is>
          <t>Independent penetration test, load test, regression, final UAT sign-off, data migration rehearsal, production go-live, then 4 weeks hypercare</t>
        </is>
      </c>
      <c r="G8" s="2">
        <f>COUNTIF(RTM!$L$2:$L$101,A8)</f>
        <v/>
      </c>
      <c r="H8" s="2">
        <f>SUMIF(RTM!$L$2:$L$101,A8,RTM!$O$2:$O$101)</f>
        <v/>
      </c>
      <c r="I8" s="2">
        <f>SUMIF('Foundations backlog'!$C$2:$C$100,A8,'Foundations backlog'!$E$2:$E$100)</f>
        <v/>
      </c>
      <c r="J8" s="2">
        <f>H8+I8</f>
        <v/>
      </c>
      <c r="K8" s="2" t="n">
        <v>70</v>
      </c>
      <c r="L8" s="4">
        <f>J8/K8</f>
        <v/>
      </c>
    </row>
    <row r="9">
      <c r="A9" s="5" t="inlineStr">
        <is>
          <t>Total</t>
        </is>
      </c>
      <c r="B9" s="2" t="inlineStr"/>
      <c r="C9" s="2" t="inlineStr"/>
      <c r="D9" s="8" t="inlineStr"/>
      <c r="E9" s="8" t="inlineStr"/>
      <c r="F9" s="2" t="inlineStr"/>
      <c r="G9" s="2">
        <f>SUM(G2:G8)</f>
        <v/>
      </c>
      <c r="H9" s="2">
        <f>SUM(H2:H8)</f>
        <v/>
      </c>
      <c r="I9" s="2">
        <f>SUM(I2:I8)</f>
        <v/>
      </c>
      <c r="J9" s="2">
        <f>SUM(J2:J8)</f>
        <v/>
      </c>
      <c r="K9" s="2">
        <f>SUM(K2:K8)</f>
        <v/>
      </c>
      <c r="L9" s="4">
        <f>J9/K9</f>
        <v/>
      </c>
    </row>
    <row r="11">
      <c r="A11" t="inlineStr">
        <is>
          <t>Assumption: velocity 35 pts/sprint in every sprint for the recommended team in 07-execution-plan.md §4. Points include API, admin, member app and automated tests. Re-baseline after S3 using measured velocity.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9" customWidth="1" min="4" max="4"/>
    <col width="40" customWidth="1" min="5" max="5"/>
  </cols>
  <sheetData>
    <row r="1" ht="32" customHeight="1">
      <c r="A1" s="1" t="inlineStr">
        <is>
          <t>Sprint</t>
        </is>
      </c>
      <c r="B1" s="1" t="inlineStr">
        <is>
          <t>Start (Mon)</t>
        </is>
      </c>
      <c r="C1" s="1" t="inlineStr">
        <is>
          <t>End (Fri)</t>
        </is>
      </c>
      <c r="D1" s="1" t="inlineStr">
        <is>
          <t>Release</t>
        </is>
      </c>
      <c r="E1" s="1" t="inlineStr">
        <is>
          <t>Sprint review / demo</t>
        </is>
      </c>
    </row>
    <row r="2">
      <c r="A2" t="inlineStr">
        <is>
          <t>S0</t>
        </is>
      </c>
      <c r="B2" s="9" t="n">
        <v>46328</v>
      </c>
      <c r="C2" s="9" t="n">
        <v>46339</v>
      </c>
      <c r="D2" t="inlineStr">
        <is>
          <t>R0</t>
        </is>
      </c>
      <c r="E2" t="inlineStr">
        <is>
          <t>Kick-off + architecture sign-off</t>
        </is>
      </c>
    </row>
    <row r="3">
      <c r="A3" t="inlineStr">
        <is>
          <t>S1</t>
        </is>
      </c>
      <c r="B3" s="9" t="n">
        <v>46342</v>
      </c>
      <c r="C3" s="9" t="n">
        <v>46353</v>
      </c>
      <c r="D3" t="inlineStr">
        <is>
          <t>R0</t>
        </is>
      </c>
      <c r="E3" t="inlineStr">
        <is>
          <t>Demo to TRA product owner; UAT of previous release on staging</t>
        </is>
      </c>
    </row>
    <row r="4">
      <c r="A4" t="inlineStr">
        <is>
          <t>S2</t>
        </is>
      </c>
      <c r="B4" s="9" t="n">
        <v>46356</v>
      </c>
      <c r="C4" s="9" t="n">
        <v>46367</v>
      </c>
      <c r="D4" t="inlineStr">
        <is>
          <t>R1</t>
        </is>
      </c>
      <c r="E4" t="inlineStr">
        <is>
          <t>Demo to TRA product owner; UAT of previous release on staging</t>
        </is>
      </c>
    </row>
    <row r="5">
      <c r="A5" t="inlineStr">
        <is>
          <t>S3</t>
        </is>
      </c>
      <c r="B5" s="9" t="n">
        <v>46391</v>
      </c>
      <c r="C5" s="9" t="n">
        <v>46402</v>
      </c>
      <c r="D5" t="inlineStr">
        <is>
          <t>R1</t>
        </is>
      </c>
      <c r="E5" t="inlineStr">
        <is>
          <t>Demo to TRA product owner; UAT of previous release on staging</t>
        </is>
      </c>
    </row>
    <row r="6">
      <c r="A6" t="inlineStr">
        <is>
          <t>S4</t>
        </is>
      </c>
      <c r="B6" s="9" t="n">
        <v>46405</v>
      </c>
      <c r="C6" s="9" t="n">
        <v>46416</v>
      </c>
      <c r="D6" t="inlineStr">
        <is>
          <t>R1</t>
        </is>
      </c>
      <c r="E6" t="inlineStr">
        <is>
          <t>Demo to TRA product owner; UAT of previous release on staging</t>
        </is>
      </c>
    </row>
    <row r="7">
      <c r="A7" t="inlineStr">
        <is>
          <t>S5</t>
        </is>
      </c>
      <c r="B7" s="9" t="n">
        <v>46419</v>
      </c>
      <c r="C7" s="9" t="n">
        <v>46430</v>
      </c>
      <c r="D7" t="inlineStr">
        <is>
          <t>R1</t>
        </is>
      </c>
      <c r="E7" t="inlineStr">
        <is>
          <t>Demo to TRA product owner; UAT of previous release on staging</t>
        </is>
      </c>
    </row>
    <row r="8">
      <c r="A8" t="inlineStr">
        <is>
          <t>S6</t>
        </is>
      </c>
      <c r="B8" s="9" t="n">
        <v>46433</v>
      </c>
      <c r="C8" s="9" t="n">
        <v>46444</v>
      </c>
      <c r="D8" t="inlineStr">
        <is>
          <t>R1</t>
        </is>
      </c>
      <c r="E8" t="inlineStr">
        <is>
          <t>Demo to TRA product owner; UAT of previous release on staging</t>
        </is>
      </c>
    </row>
    <row r="9">
      <c r="A9" t="inlineStr">
        <is>
          <t>S7</t>
        </is>
      </c>
      <c r="B9" s="9" t="n">
        <v>46447</v>
      </c>
      <c r="C9" s="9" t="n">
        <v>46458</v>
      </c>
      <c r="D9" t="inlineStr">
        <is>
          <t>R2</t>
        </is>
      </c>
      <c r="E9" t="inlineStr">
        <is>
          <t>Demo to TRA product owner; UAT of previous release on staging</t>
        </is>
      </c>
    </row>
    <row r="10">
      <c r="A10" t="inlineStr">
        <is>
          <t>S8</t>
        </is>
      </c>
      <c r="B10" s="9" t="n">
        <v>46461</v>
      </c>
      <c r="C10" s="9" t="n">
        <v>46472</v>
      </c>
      <c r="D10" t="inlineStr">
        <is>
          <t>R2</t>
        </is>
      </c>
      <c r="E10" t="inlineStr">
        <is>
          <t>Demo to TRA product owner; UAT of previous release on staging</t>
        </is>
      </c>
    </row>
    <row r="11">
      <c r="A11" t="inlineStr">
        <is>
          <t>S9</t>
        </is>
      </c>
      <c r="B11" s="9" t="n">
        <v>46475</v>
      </c>
      <c r="C11" s="9" t="n">
        <v>46486</v>
      </c>
      <c r="D11" t="inlineStr">
        <is>
          <t>R2</t>
        </is>
      </c>
      <c r="E11" t="inlineStr">
        <is>
          <t>Demo to TRA product owner; UAT of previous release on staging</t>
        </is>
      </c>
    </row>
    <row r="12">
      <c r="A12" t="inlineStr">
        <is>
          <t>S10</t>
        </is>
      </c>
      <c r="B12" s="9" t="n">
        <v>46489</v>
      </c>
      <c r="C12" s="9" t="n">
        <v>46500</v>
      </c>
      <c r="D12" t="inlineStr">
        <is>
          <t>R3</t>
        </is>
      </c>
      <c r="E12" t="inlineStr">
        <is>
          <t>Demo to TRA product owner; UAT of previous release on staging</t>
        </is>
      </c>
    </row>
    <row r="13">
      <c r="A13" t="inlineStr">
        <is>
          <t>S11</t>
        </is>
      </c>
      <c r="B13" s="9" t="n">
        <v>46503</v>
      </c>
      <c r="C13" s="9" t="n">
        <v>46514</v>
      </c>
      <c r="D13" t="inlineStr">
        <is>
          <t>R3</t>
        </is>
      </c>
      <c r="E13" t="inlineStr">
        <is>
          <t>Demo to TRA product owner; UAT of previous release on staging</t>
        </is>
      </c>
    </row>
    <row r="14">
      <c r="A14" t="inlineStr">
        <is>
          <t>S12</t>
        </is>
      </c>
      <c r="B14" s="9" t="n">
        <v>46517</v>
      </c>
      <c r="C14" s="9" t="n">
        <v>46528</v>
      </c>
      <c r="D14" t="inlineStr">
        <is>
          <t>R3</t>
        </is>
      </c>
      <c r="E14" t="inlineStr">
        <is>
          <t>Demo to TRA product owner; UAT of previous release on staging</t>
        </is>
      </c>
    </row>
    <row r="15">
      <c r="A15" t="inlineStr">
        <is>
          <t>S13</t>
        </is>
      </c>
      <c r="B15" s="9" t="n">
        <v>46531</v>
      </c>
      <c r="C15" s="9" t="n">
        <v>46542</v>
      </c>
      <c r="D15" t="inlineStr">
        <is>
          <t>R3</t>
        </is>
      </c>
      <c r="E15" t="inlineStr">
        <is>
          <t>Demo to TRA product owner; UAT of previous release on staging</t>
        </is>
      </c>
    </row>
    <row r="16">
      <c r="A16" t="inlineStr">
        <is>
          <t>S14</t>
        </is>
      </c>
      <c r="B16" s="9" t="n">
        <v>46545</v>
      </c>
      <c r="C16" s="9" t="n">
        <v>46556</v>
      </c>
      <c r="D16" t="inlineStr">
        <is>
          <t>R4</t>
        </is>
      </c>
      <c r="E16" t="inlineStr">
        <is>
          <t>Demo to TRA product owner; UAT of previous release on staging</t>
        </is>
      </c>
    </row>
    <row r="17">
      <c r="A17" t="inlineStr">
        <is>
          <t>S15</t>
        </is>
      </c>
      <c r="B17" s="9" t="n">
        <v>46559</v>
      </c>
      <c r="C17" s="9" t="n">
        <v>46570</v>
      </c>
      <c r="D17" t="inlineStr">
        <is>
          <t>R4</t>
        </is>
      </c>
      <c r="E17" t="inlineStr">
        <is>
          <t>Demo to TRA product owner; UAT of previous release on staging</t>
        </is>
      </c>
    </row>
    <row r="18">
      <c r="A18" t="inlineStr">
        <is>
          <t>S16</t>
        </is>
      </c>
      <c r="B18" s="9" t="n">
        <v>46573</v>
      </c>
      <c r="C18" s="9" t="n">
        <v>46584</v>
      </c>
      <c r="D18" t="inlineStr">
        <is>
          <t>R4</t>
        </is>
      </c>
      <c r="E18" t="inlineStr">
        <is>
          <t>Demo to TRA product owner; UAT of previous release on staging</t>
        </is>
      </c>
    </row>
    <row r="19">
      <c r="A19" t="inlineStr">
        <is>
          <t>S17</t>
        </is>
      </c>
      <c r="B19" s="9" t="n">
        <v>46587</v>
      </c>
      <c r="C19" s="9" t="n">
        <v>46598</v>
      </c>
      <c r="D19" t="inlineStr">
        <is>
          <t>R4</t>
        </is>
      </c>
      <c r="E19" t="inlineStr">
        <is>
          <t>Demo to TRA product owner; UAT of previous release on staging</t>
        </is>
      </c>
    </row>
    <row r="20">
      <c r="A20" t="inlineStr">
        <is>
          <t>S18</t>
        </is>
      </c>
      <c r="B20" s="9" t="n">
        <v>46601</v>
      </c>
      <c r="C20" s="9" t="n">
        <v>46612</v>
      </c>
      <c r="D20" t="inlineStr">
        <is>
          <t>R5</t>
        </is>
      </c>
      <c r="E20" t="inlineStr">
        <is>
          <t>Demo to TRA product owner; UAT of previous release on staging</t>
        </is>
      </c>
    </row>
    <row r="21">
      <c r="A21" t="inlineStr">
        <is>
          <t>S19</t>
        </is>
      </c>
      <c r="B21" s="9" t="n">
        <v>46615</v>
      </c>
      <c r="C21" s="9" t="n">
        <v>46626</v>
      </c>
      <c r="D21" t="inlineStr">
        <is>
          <t>R5</t>
        </is>
      </c>
      <c r="E21" t="inlineStr">
        <is>
          <t>Demo to TRA product owner; UAT of previous release on staging</t>
        </is>
      </c>
    </row>
    <row r="22">
      <c r="A22" t="inlineStr">
        <is>
          <t>S20</t>
        </is>
      </c>
      <c r="B22" s="9" t="n">
        <v>46629</v>
      </c>
      <c r="C22" s="9" t="n">
        <v>46640</v>
      </c>
      <c r="D22" t="inlineStr">
        <is>
          <t>RH</t>
        </is>
      </c>
      <c r="E22" t="inlineStr">
        <is>
          <t>Demo to TRA product owner; UAT of previous release on staging</t>
        </is>
      </c>
    </row>
    <row r="23">
      <c r="A23" t="inlineStr">
        <is>
          <t>S21</t>
        </is>
      </c>
      <c r="B23" s="9" t="n">
        <v>46643</v>
      </c>
      <c r="C23" s="9" t="n">
        <v>46654</v>
      </c>
      <c r="D23" t="inlineStr">
        <is>
          <t>RH</t>
        </is>
      </c>
      <c r="E23" t="inlineStr">
        <is>
          <t>Demo to TRA product owner; UAT of previous release on staging</t>
        </is>
      </c>
    </row>
    <row r="25">
      <c r="A25" t="inlineStr">
        <is>
          <t>Buffer week 14-18 Dec 2026 (defects, tech debt, pilot prep) and holiday freeze 21-Dec-2026 to 03-Jan-2027 (no sprint). Hypercare runs 4 weeks after S21.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7" t="inlineStr">
        <is>
          <t>Field</t>
        </is>
      </c>
      <c r="B1" s="7" t="inlineStr">
        <is>
          <t>Meaning</t>
        </is>
      </c>
    </row>
    <row r="2">
      <c r="A2" t="inlineStr">
        <is>
          <t>Prototype status</t>
        </is>
      </c>
      <c r="B2" t="inlineStr">
        <is>
          <t>Partial = some behaviour exists in commit 7ad3d35 but key rules are missing; Not started = nothing usable</t>
        </is>
      </c>
    </row>
    <row r="3">
      <c r="A3" t="inlineStr">
        <is>
          <t>Size</t>
        </is>
      </c>
      <c r="B3" t="inlineStr">
        <is>
          <t>S = 3 pts, M = 5, L = 8, XL = 13 (full stack: API + admin portal + member app + tests). Partial items discounted 25%</t>
        </is>
      </c>
    </row>
    <row r="4">
      <c r="A4" t="inlineStr">
        <is>
          <t>Shared services</t>
        </is>
      </c>
      <c r="B4" t="inlineStr">
        <is>
          <t>Platform services from 02-solution-architecture.md §4 that the requirement depends on (auto-derived from SRS text; verify in refinement)</t>
        </is>
      </c>
    </row>
    <row r="5">
      <c r="A5" t="inlineStr">
        <is>
          <t>Decision refs</t>
        </is>
      </c>
      <c r="B5" t="inlineStr">
        <is>
          <t>Open business decisions in 09-decisions-and-business-rules-register.md that block final acceptance criteria</t>
        </is>
      </c>
    </row>
    <row r="6">
      <c r="A6" t="inlineStr">
        <is>
          <t>Test cases</t>
        </is>
      </c>
      <c r="B6" t="inlineStr">
        <is>
          <t>One test case per related sub-requirement, numbered TC-&lt;ReqID&gt;-NN; UAT scripts derived from SRS Behavior + Exceptional rows</t>
        </is>
      </c>
    </row>
    <row r="7">
      <c r="A7" t="inlineStr">
        <is>
          <t>Delivery status</t>
        </is>
      </c>
      <c r="B7" t="inlineStr">
        <is>
          <t>Maintained by the delivery team each sprint (drop-down)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2026-10-16T13:12:16Z</dcterms:created>
  <dcterms:modified xmlns:dcterms="http://purl.org/dc/terms/" xmlns:xsi="http://www.w3.org/2001/XMLSchema-instance" xsi:type="dcterms:W3CDTF">2026-10-17T09:47:53Z</dcterms:modified>
</cp:coreProperties>
</file>